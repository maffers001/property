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xr:revisionPtr revIDLastSave="0" documentId="13_ncr:1_{1E90F8A0-3F40-4ED8-B0D0-B77902376EB6}" xr6:coauthVersionLast="47" xr6:coauthVersionMax="47" xr10:uidLastSave="{00000000-0000-0000-0000-000000000000}"/>
  <bookViews>
    <workbookView xWindow="-14760" yWindow="-16320" windowWidth="29040" windowHeight="16440" xr2:uid="{00000000-000D-0000-FFFF-FFFF00000000}"/>
  </bookViews>
  <sheets>
    <sheet name="Rent Statement" sheetId="1" r:id="rId1"/>
    <sheet name="Statistics" sheetId="31690" r:id="rId2"/>
    <sheet name="Import" sheetId="31686" r:id="rId3"/>
    <sheet name="MT" sheetId="31688" r:id="rId4"/>
    <sheet name="IV" sheetId="31689" r:id="rId5"/>
    <sheet name="IV (4040)" sheetId="31692" r:id="rId6"/>
    <sheet name="Beals" sheetId="31687" r:id="rId7"/>
    <sheet name="Tenancies" sheetId="31680" r:id="rId8"/>
    <sheet name="Managed Properties" sheetId="31681" r:id="rId9"/>
    <sheet name="Expense Categories" sheetId="31683" r:id="rId10"/>
    <sheet name="Rent Status" sheetId="31685" r:id="rId11"/>
  </sheets>
  <externalReferences>
    <externalReference r:id="rId12"/>
    <externalReference r:id="rId13"/>
  </externalReferences>
  <definedNames>
    <definedName name="_xlnm._FilterDatabase" localSheetId="6" hidden="1">Beals!$A$1:$J$213</definedName>
    <definedName name="_xlnm._FilterDatabase" localSheetId="4" hidden="1">IV!$A$1:$I$94</definedName>
    <definedName name="_xlnm._FilterDatabase" localSheetId="5" hidden="1">'IV (4040)'!$A$1:$I$140</definedName>
    <definedName name="_xlnm._FilterDatabase" localSheetId="8" hidden="1">'Managed Properties'!$A$1:$E$75</definedName>
    <definedName name="_xlnm._FilterDatabase" localSheetId="3" hidden="1">MT!$A$1:$J$271</definedName>
    <definedName name="_xlnm._FilterDatabase" localSheetId="0" hidden="1">'Rent Statement'!$B$7:$U$63</definedName>
    <definedName name="_xlnm._FilterDatabase" localSheetId="7" hidden="1">Tenancies!$A$1:$L$256</definedName>
    <definedName name="BillListStart" localSheetId="5">#REF!</definedName>
    <definedName name="BillListStart">#REF!</definedName>
    <definedName name="BillPropertyList" localSheetId="5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IV!$D$4:$D$384</definedName>
    <definedName name="IV_Amount_4040">'IV (4040)'!$D$2:$D$490</definedName>
    <definedName name="IV_BankRef">IV!$F$4:$F$384</definedName>
    <definedName name="IV_BankRef_4040">'IV (4040)'!$I$2:$I$490</definedName>
    <definedName name="MT_Amount">MT!$D$2:$D$553</definedName>
    <definedName name="MT_BankRef">MT!$F$2:$F$553</definedName>
    <definedName name="MT_Desc">MT!$H$2:$H$553</definedName>
    <definedName name="MT_Include">MT!$J$2:$J$553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510" i="31680" l="1"/>
  <c r="AB509" i="31680"/>
  <c r="AB508" i="31680"/>
  <c r="AB507" i="31680"/>
  <c r="AB506" i="31680"/>
  <c r="AB505" i="31680"/>
  <c r="AB504" i="31680"/>
  <c r="AB503" i="31680"/>
  <c r="AB502" i="31680"/>
  <c r="AB501" i="31680"/>
  <c r="AB500" i="31680"/>
  <c r="AB499" i="31680"/>
  <c r="AB498" i="31680"/>
  <c r="AB497" i="31680"/>
  <c r="AB496" i="31680"/>
  <c r="AB495" i="31680"/>
  <c r="AB494" i="31680"/>
  <c r="AB493" i="31680"/>
  <c r="AB492" i="31680"/>
  <c r="AB491" i="31680"/>
  <c r="AB490" i="31680"/>
  <c r="AB489" i="31680"/>
  <c r="AB488" i="31680"/>
  <c r="AB487" i="31680"/>
  <c r="AB486" i="31680"/>
  <c r="AB485" i="31680"/>
  <c r="AB484" i="31680"/>
  <c r="AB483" i="31680"/>
  <c r="AB482" i="31680"/>
  <c r="AB481" i="31680"/>
  <c r="AB480" i="31680"/>
  <c r="AB479" i="31680"/>
  <c r="AB478" i="31680"/>
  <c r="AB477" i="31680"/>
  <c r="AB476" i="31680"/>
  <c r="AB475" i="31680"/>
  <c r="AB474" i="31680"/>
  <c r="AB473" i="31680"/>
  <c r="AB472" i="31680"/>
  <c r="AB471" i="31680"/>
  <c r="AB470" i="31680"/>
  <c r="AB469" i="31680"/>
  <c r="AB468" i="31680"/>
  <c r="AB467" i="31680"/>
  <c r="AB466" i="31680"/>
  <c r="AB465" i="31680"/>
  <c r="AB464" i="31680"/>
  <c r="AB463" i="31680"/>
  <c r="AB462" i="31680"/>
  <c r="AB461" i="31680"/>
  <c r="AB460" i="31680"/>
  <c r="AB459" i="31680"/>
  <c r="AB458" i="31680"/>
  <c r="AB457" i="31680"/>
  <c r="AB456" i="31680"/>
  <c r="AB455" i="31680"/>
  <c r="AB454" i="31680"/>
  <c r="AB453" i="31680"/>
  <c r="AB452" i="31680"/>
  <c r="AB451" i="31680"/>
  <c r="AB450" i="31680"/>
  <c r="AB449" i="31680"/>
  <c r="AB448" i="31680"/>
  <c r="AB447" i="31680"/>
  <c r="AB446" i="31680"/>
  <c r="AB445" i="31680"/>
  <c r="AB444" i="31680"/>
  <c r="AB443" i="31680"/>
  <c r="AB442" i="31680"/>
  <c r="AB441" i="31680"/>
  <c r="AB440" i="31680"/>
  <c r="AB439" i="31680"/>
  <c r="AB438" i="31680"/>
  <c r="AB437" i="31680"/>
  <c r="AB436" i="31680"/>
  <c r="AB435" i="31680"/>
  <c r="AB434" i="31680"/>
  <c r="AB433" i="31680"/>
  <c r="AB432" i="31680"/>
  <c r="AB431" i="31680"/>
  <c r="AB430" i="31680"/>
  <c r="AB429" i="31680"/>
  <c r="AB428" i="31680"/>
  <c r="AB427" i="31680"/>
  <c r="AB426" i="31680"/>
  <c r="AB425" i="31680"/>
  <c r="AB424" i="31680"/>
  <c r="AB423" i="31680"/>
  <c r="AB422" i="31680"/>
  <c r="AB421" i="31680"/>
  <c r="AB420" i="31680"/>
  <c r="AB419" i="31680"/>
  <c r="AB418" i="31680"/>
  <c r="AB417" i="31680"/>
  <c r="AB416" i="31680"/>
  <c r="AB415" i="31680"/>
  <c r="AB414" i="31680"/>
  <c r="AB413" i="31680"/>
  <c r="AB412" i="31680"/>
  <c r="AB411" i="31680"/>
  <c r="AB410" i="31680"/>
  <c r="AB409" i="31680"/>
  <c r="AB408" i="31680"/>
  <c r="AB407" i="31680"/>
  <c r="AB406" i="31680"/>
  <c r="AB405" i="31680"/>
  <c r="AB404" i="31680"/>
  <c r="AB403" i="31680"/>
  <c r="AB402" i="31680"/>
  <c r="AB401" i="31680"/>
  <c r="AB400" i="31680"/>
  <c r="AB399" i="31680"/>
  <c r="AB398" i="31680"/>
  <c r="AB397" i="31680"/>
  <c r="AB396" i="31680"/>
  <c r="AB395" i="31680"/>
  <c r="AB394" i="31680"/>
  <c r="AB393" i="31680"/>
  <c r="AB392" i="31680"/>
  <c r="AB391" i="31680"/>
  <c r="AB390" i="31680"/>
  <c r="AB389" i="31680"/>
  <c r="AB388" i="31680"/>
  <c r="AB387" i="31680"/>
  <c r="AB386" i="31680"/>
  <c r="AB385" i="31680"/>
  <c r="AB384" i="31680"/>
  <c r="AB383" i="31680"/>
  <c r="AB382" i="31680"/>
  <c r="AB381" i="31680"/>
  <c r="AB380" i="31680"/>
  <c r="AB379" i="31680"/>
  <c r="AB378" i="31680"/>
  <c r="AB377" i="31680"/>
  <c r="AB376" i="31680"/>
  <c r="AB375" i="31680"/>
  <c r="AB374" i="31680"/>
  <c r="AB373" i="31680"/>
  <c r="AB372" i="31680"/>
  <c r="AB371" i="31680"/>
  <c r="AB370" i="31680"/>
  <c r="AB369" i="31680"/>
  <c r="AB368" i="31680"/>
  <c r="AB367" i="31680"/>
  <c r="AB366" i="31680"/>
  <c r="AB365" i="31680"/>
  <c r="AB364" i="31680"/>
  <c r="AB363" i="31680"/>
  <c r="AB362" i="31680"/>
  <c r="AB361" i="31680"/>
  <c r="AB360" i="31680"/>
  <c r="AB359" i="31680"/>
  <c r="AB358" i="31680"/>
  <c r="AB357" i="31680"/>
  <c r="AB356" i="31680"/>
  <c r="AB355" i="31680"/>
  <c r="AB354" i="31680"/>
  <c r="AB353" i="31680"/>
  <c r="AB352" i="31680"/>
  <c r="AB351" i="31680"/>
  <c r="AB350" i="31680"/>
  <c r="AB349" i="31680"/>
  <c r="AB348" i="31680"/>
  <c r="AB347" i="31680"/>
  <c r="AB346" i="31680"/>
  <c r="AB345" i="31680"/>
  <c r="AB344" i="31680"/>
  <c r="AB343" i="31680"/>
  <c r="AB342" i="31680"/>
  <c r="AB341" i="31680"/>
  <c r="AB340" i="31680"/>
  <c r="AB339" i="31680"/>
  <c r="AB338" i="31680"/>
  <c r="AB337" i="31680"/>
  <c r="AB336" i="31680"/>
  <c r="AB335" i="31680"/>
  <c r="AB334" i="31680"/>
  <c r="AB333" i="31680"/>
  <c r="AB332" i="31680"/>
  <c r="AB331" i="31680"/>
  <c r="AB330" i="31680"/>
  <c r="AB329" i="31680"/>
  <c r="AB324" i="31680"/>
  <c r="AB323" i="31680"/>
  <c r="AB322" i="31680"/>
  <c r="AB321" i="31680"/>
  <c r="AB320" i="31680"/>
  <c r="AB319" i="31680"/>
  <c r="AB318" i="31680"/>
  <c r="AB317" i="31680"/>
  <c r="AB316" i="31680"/>
  <c r="AB315" i="31680"/>
  <c r="AB314" i="31680"/>
  <c r="AB313" i="31680"/>
  <c r="AB312" i="31680"/>
  <c r="AB311" i="31680"/>
  <c r="AB310" i="31680"/>
  <c r="AB309" i="31680"/>
  <c r="AB308" i="31680"/>
  <c r="AB307" i="31680"/>
  <c r="AB306" i="31680"/>
  <c r="AB305" i="31680"/>
  <c r="AB304" i="31680"/>
  <c r="AB303" i="31680"/>
  <c r="AB302" i="31680"/>
  <c r="AB301" i="31680"/>
  <c r="AB300" i="31680"/>
  <c r="AB299" i="31680"/>
  <c r="AB298" i="31680"/>
  <c r="AB297" i="31680"/>
  <c r="AB296" i="31680"/>
  <c r="AB295" i="31680"/>
  <c r="AB294" i="31680"/>
  <c r="AB293" i="31680"/>
  <c r="AB292" i="31680"/>
  <c r="AB291" i="31680"/>
  <c r="AB290" i="31680"/>
  <c r="AB289" i="31680"/>
  <c r="AB288" i="31680"/>
  <c r="AB287" i="31680"/>
  <c r="AB286" i="31680"/>
  <c r="AB285" i="31680"/>
  <c r="AB284" i="31680"/>
  <c r="AB283" i="31680"/>
  <c r="AB282" i="31680"/>
  <c r="AB281" i="31680"/>
  <c r="AB280" i="31680"/>
  <c r="AB279" i="31680"/>
  <c r="AB278" i="31680"/>
  <c r="AB277" i="31680"/>
  <c r="AB276" i="31680"/>
  <c r="AB275" i="31680"/>
  <c r="AB274" i="31680"/>
  <c r="AB273" i="31680"/>
  <c r="AB272" i="31680"/>
  <c r="AB271" i="31680"/>
  <c r="AB270" i="31680"/>
  <c r="AB269" i="31680"/>
  <c r="AB268" i="31680"/>
  <c r="AB267" i="31680"/>
  <c r="AB266" i="31680"/>
  <c r="AB265" i="31680"/>
  <c r="AB264" i="31680"/>
  <c r="AB263" i="31680"/>
  <c r="AB262" i="31680"/>
  <c r="AB261" i="31680"/>
  <c r="AB260" i="31680"/>
  <c r="AB259" i="31680"/>
  <c r="AB258" i="31680"/>
  <c r="AB257" i="31680"/>
  <c r="AB256" i="31680"/>
  <c r="AB255" i="31680"/>
  <c r="AB254" i="31680"/>
  <c r="AB253" i="31680"/>
  <c r="AB252" i="31680"/>
  <c r="AB251" i="31680"/>
  <c r="AB250" i="31680"/>
  <c r="AB249" i="31680"/>
  <c r="AB248" i="31680"/>
  <c r="AB247" i="31680"/>
  <c r="AB246" i="31680"/>
  <c r="AB245" i="31680"/>
  <c r="AB244" i="31680"/>
  <c r="AB243" i="31680"/>
  <c r="AB242" i="31680"/>
  <c r="AB241" i="31680"/>
  <c r="AB240" i="31680"/>
  <c r="AB239" i="31680"/>
  <c r="AB238" i="31680"/>
  <c r="AB237" i="31680"/>
  <c r="AB236" i="31680"/>
  <c r="AB235" i="31680"/>
  <c r="AB234" i="31680"/>
  <c r="AB233" i="31680"/>
  <c r="AB232" i="31680"/>
  <c r="AB231" i="31680"/>
  <c r="AB230" i="31680"/>
  <c r="AB229" i="31680"/>
  <c r="AB228" i="31680"/>
  <c r="AB227" i="31680"/>
  <c r="AB226" i="31680"/>
  <c r="AB225" i="31680"/>
  <c r="AB224" i="31680"/>
  <c r="AB223" i="31680"/>
  <c r="AB222" i="31680"/>
  <c r="AB221" i="31680"/>
  <c r="AB220" i="31680"/>
  <c r="AB219" i="31680"/>
  <c r="AB218" i="31680"/>
  <c r="AB217" i="31680"/>
  <c r="AB216" i="31680"/>
  <c r="AB215" i="31680"/>
  <c r="AB214" i="31680"/>
  <c r="AB213" i="31680"/>
  <c r="AB212" i="31680"/>
  <c r="AB211" i="31680"/>
  <c r="AB210" i="31680"/>
  <c r="AB209" i="31680"/>
  <c r="AB208" i="31680"/>
  <c r="AB207" i="31680"/>
  <c r="AB206" i="31680"/>
  <c r="AB205" i="31680"/>
  <c r="AB204" i="31680"/>
  <c r="AB203" i="31680"/>
  <c r="AB202" i="31680"/>
  <c r="AB201" i="31680"/>
  <c r="AB200" i="31680"/>
  <c r="AB199" i="31680"/>
  <c r="AB198" i="31680"/>
  <c r="AB197" i="31680"/>
  <c r="AB196" i="31680"/>
  <c r="AB195" i="31680"/>
  <c r="AB194" i="31680"/>
  <c r="AB193" i="31680"/>
  <c r="AB192" i="31680"/>
  <c r="AB191" i="31680"/>
  <c r="AB190" i="31680"/>
  <c r="AB189" i="31680"/>
  <c r="AB188" i="31680"/>
  <c r="AB187" i="31680"/>
  <c r="AB186" i="31680"/>
  <c r="AB185" i="31680"/>
  <c r="AB184" i="31680"/>
  <c r="AB183" i="31680"/>
  <c r="AB182" i="31680"/>
  <c r="AB181" i="31680"/>
  <c r="AB180" i="31680"/>
  <c r="AB179" i="31680"/>
  <c r="AB178" i="31680"/>
  <c r="AB177" i="31680"/>
  <c r="AB176" i="31680"/>
  <c r="AB175" i="31680"/>
  <c r="AB174" i="31680"/>
  <c r="AB173" i="31680"/>
  <c r="AB172" i="31680"/>
  <c r="AB171" i="31680"/>
  <c r="AB170" i="31680"/>
  <c r="AB169" i="31680"/>
  <c r="AB168" i="31680"/>
  <c r="AB167" i="31680"/>
  <c r="AB166" i="31680"/>
  <c r="AB165" i="31680"/>
  <c r="AB164" i="31680"/>
  <c r="AB163" i="31680"/>
  <c r="AB162" i="31680"/>
  <c r="AB161" i="31680"/>
  <c r="AB160" i="31680"/>
  <c r="AB159" i="31680"/>
  <c r="AB158" i="31680"/>
  <c r="AB157" i="31680"/>
  <c r="AB156" i="31680"/>
  <c r="AB155" i="31680"/>
  <c r="AB154" i="31680"/>
  <c r="AB153" i="31680"/>
  <c r="AB152" i="31680"/>
  <c r="AB151" i="31680"/>
  <c r="AB150" i="31680"/>
  <c r="AB149" i="31680"/>
  <c r="AB148" i="31680"/>
  <c r="AB147" i="31680"/>
  <c r="AB146" i="31680"/>
  <c r="AB145" i="31680"/>
  <c r="AB144" i="31680"/>
  <c r="AB143" i="31680"/>
  <c r="AB142" i="31680"/>
  <c r="AB141" i="31680"/>
  <c r="AB140" i="31680"/>
  <c r="AB139" i="31680"/>
  <c r="AB138" i="31680"/>
  <c r="AB137" i="31680"/>
  <c r="AB136" i="31680"/>
  <c r="AB135" i="31680"/>
  <c r="AB134" i="31680"/>
  <c r="AB133" i="31680"/>
  <c r="AB132" i="31680"/>
  <c r="AB131" i="31680"/>
  <c r="AB130" i="31680"/>
  <c r="AB129" i="31680"/>
  <c r="AB128" i="31680"/>
  <c r="AB127" i="31680"/>
  <c r="AB126" i="31680"/>
  <c r="AB125" i="31680"/>
  <c r="AB124" i="31680"/>
  <c r="AB123" i="31680"/>
  <c r="AB122" i="31680"/>
  <c r="AB121" i="31680"/>
  <c r="AB120" i="31680"/>
  <c r="AB119" i="31680"/>
  <c r="AB118" i="31680"/>
  <c r="AB117" i="31680"/>
  <c r="AB116" i="31680"/>
  <c r="AB115" i="31680"/>
  <c r="AB114" i="31680"/>
  <c r="AB113" i="31680"/>
  <c r="AB112" i="31680"/>
  <c r="AB111" i="31680"/>
  <c r="AB110" i="31680"/>
  <c r="AB109" i="31680"/>
  <c r="AB108" i="31680"/>
  <c r="AB107" i="31680"/>
  <c r="AB106" i="31680"/>
  <c r="AB105" i="31680"/>
  <c r="AB104" i="31680"/>
  <c r="AB103" i="31680"/>
  <c r="AB102" i="31680"/>
  <c r="AB101" i="31680"/>
  <c r="AB100" i="31680"/>
  <c r="AB99" i="31680"/>
  <c r="AB98" i="31680"/>
  <c r="AB97" i="31680"/>
  <c r="AB96" i="31680"/>
  <c r="AB95" i="31680"/>
  <c r="AB94" i="31680"/>
  <c r="AB92" i="31680"/>
  <c r="AB91" i="31680"/>
  <c r="AB90" i="31680"/>
  <c r="AB89" i="31680"/>
  <c r="AB88" i="31680"/>
  <c r="AB87" i="31680"/>
  <c r="AB86" i="31680"/>
  <c r="AB85" i="31680"/>
  <c r="AB84" i="31680"/>
  <c r="AB83" i="31680"/>
  <c r="AB82" i="31680"/>
  <c r="AB81" i="31680"/>
  <c r="AB80" i="31680"/>
  <c r="AB79" i="31680"/>
  <c r="AB78" i="31680"/>
  <c r="AB77" i="31680"/>
  <c r="AB76" i="31680"/>
  <c r="AB75" i="31680"/>
  <c r="AB74" i="31680"/>
  <c r="AB73" i="31680"/>
  <c r="AB72" i="31680"/>
  <c r="AB71" i="31680"/>
  <c r="AB70" i="31680"/>
  <c r="AB69" i="31680"/>
  <c r="AB68" i="31680"/>
  <c r="AB67" i="31680"/>
  <c r="AB66" i="31680"/>
  <c r="AB65" i="31680"/>
  <c r="AB64" i="31680"/>
  <c r="AB63" i="31680"/>
  <c r="AB62" i="31680"/>
  <c r="AB61" i="31680"/>
  <c r="AB60" i="31680"/>
  <c r="AB59" i="31680"/>
  <c r="AB58" i="31680"/>
  <c r="AB57" i="31680"/>
  <c r="AB56" i="31680"/>
  <c r="AB55" i="31680"/>
  <c r="AB54" i="31680"/>
  <c r="AB53" i="31680"/>
  <c r="AB52" i="31680"/>
  <c r="AB51" i="31680"/>
  <c r="AB50" i="31680"/>
  <c r="AB49" i="31680"/>
  <c r="AB48" i="31680"/>
  <c r="AB47" i="31680"/>
  <c r="AB46" i="31680"/>
  <c r="AB45" i="31680"/>
  <c r="AB44" i="31680"/>
  <c r="AB43" i="31680"/>
  <c r="AB42" i="31680"/>
  <c r="AB41" i="31680"/>
  <c r="AB40" i="31680"/>
  <c r="AB39" i="31680"/>
  <c r="AB38" i="31680"/>
  <c r="AB37" i="31680"/>
  <c r="AB36" i="31680"/>
  <c r="AB35" i="31680"/>
  <c r="AB34" i="31680"/>
  <c r="AB33" i="31680"/>
  <c r="AB32" i="31680"/>
  <c r="AB31" i="31680"/>
  <c r="AB30" i="31680"/>
  <c r="AB29" i="31680"/>
  <c r="AB28" i="31680"/>
  <c r="AB27" i="31680"/>
  <c r="AB26" i="31680"/>
  <c r="AB25" i="31680"/>
  <c r="AB24" i="31680"/>
  <c r="AB23" i="31680"/>
  <c r="AB22" i="31680"/>
  <c r="AB21" i="31680"/>
  <c r="AB20" i="31680"/>
  <c r="AB19" i="31680"/>
  <c r="AB18" i="31680"/>
  <c r="AB17" i="31680"/>
  <c r="AB16" i="31680"/>
  <c r="AB15" i="31680"/>
  <c r="AB14" i="31680"/>
  <c r="AB13" i="31680"/>
  <c r="AB12" i="31680"/>
  <c r="AB11" i="31680"/>
  <c r="AB10" i="31680"/>
  <c r="AB9" i="31680"/>
  <c r="AB8" i="31680"/>
  <c r="AB7" i="31680"/>
  <c r="AB6" i="31680"/>
  <c r="AB5" i="31680"/>
  <c r="AB4" i="31680"/>
  <c r="AB3" i="31680"/>
  <c r="AB2" i="31680"/>
  <c r="B33" i="31690" l="1"/>
  <c r="B25" i="31690"/>
  <c r="B21" i="31690"/>
  <c r="C31" i="31690"/>
  <c r="C24" i="31690"/>
  <c r="B30" i="31690"/>
  <c r="C18" i="31690"/>
  <c r="B32" i="31690"/>
  <c r="C26" i="31690"/>
  <c r="C30" i="31690"/>
  <c r="C34" i="31690"/>
  <c r="C29" i="31690"/>
  <c r="C33" i="31690"/>
  <c r="B26" i="31690"/>
  <c r="B29" i="31690"/>
  <c r="C21" i="31690"/>
  <c r="B17" i="31690"/>
  <c r="E39" i="31690"/>
  <c r="B31" i="31690"/>
  <c r="C22" i="31690"/>
  <c r="B34" i="31690"/>
  <c r="B18" i="31690"/>
  <c r="B24" i="31690"/>
  <c r="B22" i="31690"/>
  <c r="C17" i="31690"/>
  <c r="C32" i="31690"/>
  <c r="C25" i="31690"/>
  <c r="M29" i="1" l="1"/>
  <c r="P29" i="1" s="1"/>
  <c r="Q29" i="1"/>
  <c r="F39" i="31690" l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I10" i="31690" l="1"/>
  <c r="I9" i="31690"/>
  <c r="I8" i="31690"/>
  <c r="B5" i="31690" l="1"/>
  <c r="E5" i="31690"/>
  <c r="H5" i="31690"/>
  <c r="C6" i="31690"/>
  <c r="F6" i="31690"/>
  <c r="I6" i="31690"/>
  <c r="C7" i="31690"/>
  <c r="F7" i="31690"/>
  <c r="I7" i="31690"/>
  <c r="C8" i="31690"/>
  <c r="F8" i="31690"/>
  <c r="C9" i="31690"/>
  <c r="F9" i="31690"/>
  <c r="F10" i="31690"/>
  <c r="D35" i="31690"/>
  <c r="E38" i="31690" l="1"/>
  <c r="F38" i="31690"/>
  <c r="C36" i="31690"/>
  <c r="E12" i="31690"/>
  <c r="B15" i="31690" s="1"/>
  <c r="B12" i="31690"/>
  <c r="H12" i="31690"/>
  <c r="C15" i="31690" s="1"/>
  <c r="D34" i="31690"/>
  <c r="D31" i="31690"/>
  <c r="D33" i="31690"/>
  <c r="D29" i="31690"/>
  <c r="B36" i="31690"/>
  <c r="D30" i="31690"/>
  <c r="C19" i="31690"/>
  <c r="D32" i="31690"/>
  <c r="B19" i="31690"/>
  <c r="F35" i="31690" l="1"/>
  <c r="E34" i="31690"/>
  <c r="D36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P9" i="1"/>
  <c r="L65" i="1"/>
  <c r="J65" i="1"/>
  <c r="I65" i="1"/>
  <c r="H65" i="1"/>
  <c r="F65" i="1"/>
  <c r="G65" i="1"/>
  <c r="E33" i="31690" l="1"/>
  <c r="E31" i="31690"/>
  <c r="E29" i="31690"/>
  <c r="E25" i="31690"/>
  <c r="E30" i="31690"/>
  <c r="E26" i="31690"/>
  <c r="E32" i="31690"/>
  <c r="E24" i="31690"/>
  <c r="E35" i="31690"/>
  <c r="F29" i="31690"/>
  <c r="F26" i="31690"/>
  <c r="F25" i="31690"/>
  <c r="F24" i="31690"/>
  <c r="F34" i="31690"/>
  <c r="F30" i="31690"/>
  <c r="F31" i="31690"/>
  <c r="F33" i="31690"/>
  <c r="F32" i="31690"/>
  <c r="M65" i="1"/>
  <c r="P65" i="1"/>
  <c r="O65" i="1"/>
  <c r="E36" i="31690" l="1"/>
  <c r="E41" i="31690" s="1"/>
  <c r="E48" i="31690" s="1"/>
  <c r="F36" i="31690"/>
  <c r="F41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<sst xmlns="http://schemas.openxmlformats.org/spreadsheetml/2006/main" count="4300" uniqueCount="1118">
  <si>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</si>
  <si>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</si>
  <si>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</si>
  <si>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</si>
  <si>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</si>
  <si>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</si>
  <si>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</si>
  <si>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</si>
  <si>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</si>
  <si>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</si>
  <si>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</si>
  <si>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</si>
  <si>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</si>
  <si>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</si>
  <si>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</si>
  <si>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</si>
  <si>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</si>
  <si>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</si>
  <si>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</si>
  <si>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</si>
  <si>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</si>
  <si>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</si>
  <si>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</si>
  <si>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</si>
  <si>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</si>
  <si>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</si>
  <si>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</si>
  <si>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</si>
  <si>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</si>
  <si>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</si>
  <si>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</si>
  <si>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</si>
  <si>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</si>
  <si>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</si>
  <si>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</si>
  <si>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</si>
  <si>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</si>
  <si>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</si>
  <si>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</si>
  <si>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</si>
  <si>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</si>
  <si>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</si>
  <si>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</si>
  <si>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</si>
  <si>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</si>
  <si>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</si>
  <si>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</si>
  <si>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</si>
  <si>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</si>
  <si>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</si>
  <si>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</si>
  <si>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</si>
  <si>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</si>
  <si>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</si>
  <si>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</si>
  <si>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</si>
  <si>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</si>
  <si>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</si>
  <si>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</si>
  <si>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</si>
  <si>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</si>
  <si>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</si>
  <si>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</si>
  <si>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</si>
  <si>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</si>
  <si>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</si>
  <si>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</si>
  <si>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</si>
  <si>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</si>
  <si>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</si>
  <si>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</si>
  <si>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</si>
  <si>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</si>
  <si>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</si>
  <si>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</si>
  <si>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</si>
  <si>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</si>
  <si>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</si>
  <si>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</si>
  <si>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</si>
  <si>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</si>
  <si>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</si>
  <si>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</si>
  <si>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</si>
  <si>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</si>
  <si>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</si>
  <si>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</si>
  <si>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</si>
  <si>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</si>
  <si>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</si>
  <si>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</si>
  <si>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</si>
  <si>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</si>
  <si>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</si>
  <si>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</si>
  <si>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</si>
  <si>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</si>
  <si>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</si>
  <si>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</si>
  <si>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</si>
  <si>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</si>
  <si>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</si>
  <si>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</si>
  <si>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</si>
  <si>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</si>
  <si>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</si>
  <si>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</si>
  <si>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</si>
  <si>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</si>
  <si>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</si>
  <si>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</si>
  <si>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</si>
  <si>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</si>
  <si>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</si>
  <si>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</si>
  <si>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</si>
  <si>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</si>
  <si>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</si>
  <si>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</si>
  <si>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</si>
  <si>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</si>
  <si>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</si>
  <si>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</si>
  <si>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</si>
  <si>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</si>
  <si>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</si>
  <si>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</si>
  <si>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</si>
  <si>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</si>
  <si>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</si>
  <si>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</si>
  <si>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</si>
  <si>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</si>
  <si>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</si>
  <si>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</si>
  <si>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</si>
  <si>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</si>
  <si>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</si>
  <si>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</si>
  <si>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</si>
  <si>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</si>
  <si>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</si>
  <si>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</si>
  <si>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</si>
  <si>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</si>
  <si>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</si>
  <si>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</si>
  <si>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</si>
  <si>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</si>
  <si>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</si>
  <si>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</si>
  <si>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</si>
  <si>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</si>
  <si>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</si>
  <si>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</si>
  <si>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</si>
  <si>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</si>
  <si>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</si>
  <si>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</si>
  <si>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</si>
  <si>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</si>
  <si>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</si>
  <si>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</si>
  <si>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</si>
  <si>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</si>
  <si>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</si>
  <si>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</si>
  <si>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</si>
  <si>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</si>
  <si>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</si>
  <si>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</si>
  <si>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</si>
  <si>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</si>
  <si>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</si>
  <si>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</si>
  <si>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</si>
  <si>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</si>
  <si>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</si>
  <si>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</si>
  <si>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</si>
  <si>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</si>
  <si>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</si>
  <si>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</si>
  <si>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</si>
  <si>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</si>
  <si>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</si>
  <si>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</si>
  <si>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</si>
  <si>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</si>
  <si>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</si>
  <si>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</si>
  <si>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</si>
  <si>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</si>
  <si>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</si>
  <si>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</si>
  <si>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</si>
  <si>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</si>
  <si>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</si>
  <si>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</si>
  <si>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</si>
  <si>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</si>
  <si>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</si>
  <si>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</si>
  <si>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</si>
  <si>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</si>
  <si>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</si>
  <si>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</si>
  <si>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</si>
  <si>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</si>
  <si>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</si>
  <si>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</si>
  <si>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</si>
  <si>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</si>
  <si>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</si>
  <si>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</si>
  <si>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</si>
  <si>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</si>
  <si>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</si>
  <si>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</si>
  <si>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</si>
  <si>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</si>
  <si>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</si>
  <si>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</si>
  <si>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</si>
  <si>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</si>
  <si>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</si>
  <si>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</si>
  <si>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</si>
  <si>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</si>
  <si>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</si>
  <si>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</si>
  <si>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</si>
  <si>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</si>
  <si>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</si>
  <si>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</si>
  <si>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</si>
  <si>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</si>
  <si>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</si>
  <si>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</si>
  <si>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</si>
  <si>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</si>
  <si>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</si>
  <si>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</si>
  <si>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</si>
  <si>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</si>
  <si>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</si>
  <si>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</si>
  <si>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</si>
  <si>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</si>
  <si>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</si>
  <si>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</si>
  <si>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</si>
  <si>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</si>
  <si>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</si>
  <si>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</si>
  <si>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</si>
  <si>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</si>
  <si>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</si>
  <si>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</si>
  <si>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</si>
  <si>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</si>
  <si>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</si>
  <si>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</si>
  <si>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</si>
  <si>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</si>
  <si>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</si>
  <si>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</si>
  <si>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</si>
  <si>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</si>
  <si>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</si>
  <si>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</si>
  <si>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</si>
  <si>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</si>
  <si>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</si>
  <si>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</si>
  <si>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</si>
  <si>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</si>
  <si>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</si>
  <si>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</si>
  <si>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</si>
  <si>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</si>
  <si>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</si>
  <si>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</si>
  <si>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</si>
  <si>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</si>
  <si>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</si>
  <si>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</si>
  <si>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</si>
  <si>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</si>
  <si>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</si>
  <si>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</si>
  <si>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</si>
  <si>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</si>
  <si>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</si>
  <si>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</si>
  <si>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</si>
  <si>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</si>
  <si>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</si>
  <si>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</si>
  <si>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</si>
  <si>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</si>
  <si>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</si>
  <si>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</si>
  <si>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</si>
  <si>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</si>
  <si>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</si>
  <si>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</si>
  <si>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</si>
  <si>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</si>
  <si>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</si>
  <si>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</si>
  <si>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</si>
  <si>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</si>
  <si>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</si>
  <si>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</si>
  <si>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</si>
  <si>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</si>
  <si>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</si>
  <si>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</si>
  <si>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</si>
  <si>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</si>
  <si>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</si>
  <si>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</si>
  <si>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</si>
  <si>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</si>
  <si>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</si>
  <si>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</si>
  <si>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</si>
  <si>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</si>
  <si>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</si>
  <si>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</si>
  <si>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</si>
  <si>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</si>
  <si>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</si>
  <si>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</si>
  <si>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</si>
  <si>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</si>
  <si>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</si>
  <si>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</si>
  <si>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</si>
  <si>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</si>
  <si>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</si>
  <si>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</si>
  <si>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</si>
  <si>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</si>
  <si>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</si>
  <si>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</si>
  <si>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</si>
  <si>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</si>
  <si>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</si>
  <si>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</si>
  <si>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</si>
  <si>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</si>
  <si>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</si>
  <si>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</si>
  <si>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</si>
  <si>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</si>
  <si>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</si>
  <si>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</si>
  <si>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</si>
  <si>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</si>
  <si>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</si>
  <si>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</si>
  <si>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</si>
  <si>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</si>
  <si>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</si>
  <si>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</si>
  <si>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</si>
  <si>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</si>
  <si>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</si>
  <si>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</si>
  <si>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</si>
  <si>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</si>
  <si>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</si>
  <si>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</si>
  <si>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</si>
  <si>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</si>
  <si>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</si>
  <si>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</si>
  <si>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</si>
  <si>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</si>
  <si>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</si>
  <si>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</si>
  <si>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</si>
  <si>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</si>
  <si>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H Daniels</t>
  </si>
  <si>
    <t>Stepek</t>
  </si>
  <si>
    <t>Mr Prior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</si>
  <si>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</si>
  <si>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</si>
  <si>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</si>
  <si>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</si>
  <si>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</si>
  <si>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</si>
  <si>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</si>
  <si>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</si>
  <si>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</si>
  <si>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</si>
  <si>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</si>
  <si>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</si>
  <si>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</si>
  <si>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</si>
  <si>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</si>
  <si>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</si>
  <si>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</si>
  <si>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</si>
  <si>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</si>
  <si>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</si>
  <si>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</si>
  <si>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</si>
  <si>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</si>
  <si>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</si>
  <si>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</si>
  <si>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</si>
  <si>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</si>
  <si>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</si>
  <si>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</si>
  <si>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</si>
  <si>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</si>
  <si>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</si>
  <si>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</si>
  <si>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</si>
  <si>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</si>
  <si>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</si>
  <si>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</si>
  <si>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</si>
  <si>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</si>
  <si>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</si>
  <si>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</si>
  <si>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</si>
  <si>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</si>
  <si>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</si>
  <si>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</si>
  <si>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</si>
  <si>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</si>
  <si>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</si>
  <si>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</si>
  <si>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</si>
  <si>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</si>
  <si>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</si>
  <si>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</si>
  <si>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</si>
  <si>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</si>
  <si>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</si>
  <si>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</si>
  <si>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</si>
  <si>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</si>
  <si>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</si>
  <si>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</si>
  <si>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</si>
  <si>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</si>
  <si>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</si>
  <si>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</si>
  <si>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</si>
  <si>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</si>
  <si>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</si>
  <si>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</si>
  <si>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</si>
  <si>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</si>
  <si>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</si>
  <si>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</si>
  <si>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</si>
  <si>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</si>
  <si>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</si>
  <si>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</si>
  <si>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</si>
  <si>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</si>
  <si>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</si>
  <si>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</si>
  <si>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</si>
  <si>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</si>
  <si>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</si>
  <si>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</si>
  <si>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</si>
  <si>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</si>
  <si>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</si>
  <si>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</si>
  <si>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</si>
  <si>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</si>
  <si>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</si>
  <si>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</si>
  <si>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</si>
  <si>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</si>
  <si>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</si>
  <si>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</si>
  <si>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</si>
  <si>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</si>
  <si>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</si>
  <si>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</si>
  <si>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</si>
  <si>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</si>
  <si>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</si>
  <si>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</si>
  <si>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</si>
  <si>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</si>
  <si>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</si>
  <si>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</si>
  <si>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</si>
  <si>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</si>
  <si>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</si>
  <si>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</si>
  <si>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</si>
  <si>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</si>
  <si>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</si>
  <si>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</si>
  <si>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</si>
  <si>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</si>
  <si>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</si>
  <si>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</si>
  <si>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</si>
  <si>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</si>
  <si>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</si>
  <si>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</si>
  <si>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</si>
  <si>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</si>
  <si>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</si>
  <si>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</si>
  <si>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</si>
  <si>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</si>
  <si>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</si>
  <si>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</si>
  <si>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</si>
  <si>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</si>
  <si>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</si>
  <si>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</si>
  <si>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</si>
  <si>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</si>
  <si>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</si>
  <si>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</si>
  <si>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</si>
  <si>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</si>
  <si>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</si>
  <si>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</si>
  <si>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</si>
  <si>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</si>
  <si>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</si>
  <si>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</si>
  <si>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</si>
  <si>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</si>
  <si>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</si>
  <si>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</si>
  <si>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</si>
  <si>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</si>
  <si>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</si>
  <si>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</si>
  <si>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</si>
  <si>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</si>
  <si>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</si>
  <si>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</si>
  <si>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</si>
  <si>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</si>
  <si>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</si>
  <si>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</si>
  <si>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</si>
  <si>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</si>
  <si>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</si>
  <si>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</si>
  <si>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</si>
  <si>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</si>
  <si>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</si>
  <si>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</si>
  <si>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</si>
  <si>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</si>
  <si>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</si>
  <si>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</si>
  <si>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</si>
  <si>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Ours Empty</t>
  </si>
  <si>
    <t>Ours Rented</t>
  </si>
  <si>
    <t>Sold 22/2/19</t>
  </si>
  <si>
    <t>Sharon Briscoe</t>
  </si>
  <si>
    <t>Mr David Connor</t>
  </si>
  <si>
    <t>Cipran Georgescu</t>
  </si>
  <si>
    <t>Nathalie Rockmer</t>
  </si>
  <si>
    <t>Susan Parkinson</t>
  </si>
  <si>
    <t>Vaclav Hajek</t>
  </si>
  <si>
    <t>Ania Barton</t>
  </si>
  <si>
    <t>Fahim Hanifi</t>
  </si>
  <si>
    <t>Matthew Tidbury</t>
  </si>
  <si>
    <t>Martin Gliszczynski (SIE-SOF T/A Pol Help)</t>
  </si>
  <si>
    <t>Mark Williams</t>
  </si>
  <si>
    <t>Yue Ting Edwin Lam</t>
  </si>
  <si>
    <t>Tsz Long Wong</t>
  </si>
  <si>
    <t>AK MD AFIF IZZUDDIN PG HJ ISMAIL</t>
  </si>
  <si>
    <t>Syasya Aristoteies</t>
  </si>
  <si>
    <t>Phoebe Louise Ranger</t>
  </si>
  <si>
    <t>Ximena Pintado</t>
  </si>
  <si>
    <t>Roshni Popat</t>
  </si>
  <si>
    <t>Matthew Bruen</t>
  </si>
  <si>
    <t>Andrew Austin</t>
  </si>
  <si>
    <t>Francis Brooker</t>
  </si>
  <si>
    <t>Jade Hughes</t>
  </si>
  <si>
    <t>Sophie Bedford</t>
  </si>
  <si>
    <t>Robert Baird</t>
  </si>
  <si>
    <t>Katherine Parson</t>
  </si>
  <si>
    <t>Katie Ingoldsby</t>
  </si>
  <si>
    <t>Sinead OBrien</t>
  </si>
  <si>
    <t>G Stukas</t>
  </si>
  <si>
    <t>Christian John Bartlett</t>
  </si>
  <si>
    <t>A Stancu</t>
  </si>
  <si>
    <t>Matthew Skelton</t>
  </si>
  <si>
    <t>Andreea Maria and Mr Cosmin Maria</t>
  </si>
  <si>
    <t>Radames Perez, Miss Vanessa Bergamo</t>
  </si>
  <si>
    <t>Andrew Greer</t>
  </si>
  <si>
    <t>Tony Di-Marco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</si>
  <si>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</si>
  <si>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</si>
  <si>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</si>
  <si>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</si>
  <si>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</si>
  <si>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</si>
  <si>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</si>
  <si>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</si>
  <si>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Peter Gradon</t>
  </si>
  <si>
    <t>Michala Mason</t>
  </si>
  <si>
    <t>Jake Lindemere</t>
  </si>
  <si>
    <t>Legislation &amp; Compliance  - Flat 1, 321 London Road, Portsmouth</t>
  </si>
  <si>
    <t>Legislation &amp; Compliance  - Flat 4, 321 London Road, Portsmouth</t>
  </si>
  <si>
    <t>Legislation &amp; Compliance  - Flat 1, 169 Fawcett Road, Southsea</t>
  </si>
  <si>
    <t>Legislation &amp; Compliance  - Flat 3, 169 Fawcett Road, Southsea</t>
  </si>
  <si>
    <t>Legislation &amp; Compliance  - Flat 2, 171 Fawcett Road, Southsea</t>
  </si>
  <si>
    <t>Legislation &amp; Compliance  - Flat 3, 163 Fratton Road, Portsmouth</t>
  </si>
  <si>
    <t>Legislation &amp; Compliance  - Flat 6, 8 Alhambra Road, Southsea</t>
  </si>
  <si>
    <t>Legislation &amp; Compliance  - Flat 10, 12-14 Alhambra Road, Southsea</t>
  </si>
  <si>
    <t>Legislation &amp; Compliance  - Flat 14, 12-14 Alhambra Road, Southsea</t>
  </si>
  <si>
    <t>Legislation &amp; Compliance  - Flat 6, 16-18 Alhambra Road, Southsea</t>
  </si>
  <si>
    <t>Legislation &amp; Compliance  - Flat 11, 16-18 Alhambra Road, Southsea</t>
  </si>
  <si>
    <t>Legislation &amp; Compliance  - Flat 1, 171 Fawcett Road, Southsea</t>
  </si>
  <si>
    <t>Legislation &amp; Compliance  - Shop, 196 Kingston Road, Portsmouth</t>
  </si>
  <si>
    <t>Legislation &amp; Compliance  - 196a Kingston Road, Portsmouth</t>
  </si>
  <si>
    <t>Legislation &amp; Compliance  - Flat 7, 12-14 Alhambra Road, Southsea</t>
  </si>
  <si>
    <t>321 London Rd</t>
  </si>
  <si>
    <t>Check arrears - had some low rents earlier in year</t>
  </si>
  <si>
    <t>Management Fee at 7% - Flat 1, 321 London Road, Portsmouth</t>
  </si>
  <si>
    <t>Invoice</t>
  </si>
  <si>
    <t>Amount payable to Mr Mathew Tucker - Flat 1, 321 London Road, Portsmouth</t>
  </si>
  <si>
    <t>Statement</t>
  </si>
  <si>
    <t>Management Fee at 7% - Flat 1, 169 Fawcett Road, Southsea</t>
  </si>
  <si>
    <t>Amount payable to Mr Mathew Tucker - Flat 1, 169 Fawcett Road, Southsea</t>
  </si>
  <si>
    <t>Management Fee at 7% - Flat 3, 169 Fawcett Road, Southsea</t>
  </si>
  <si>
    <t>Amount payable to Mr Mathew Tucker - Flat 3, 169 Fawcett Road, Southsea</t>
  </si>
  <si>
    <t>Management Fee at 7% - Flat 2, 171 Fawcett Road, Southsea</t>
  </si>
  <si>
    <t>Amount payable to Mr Mathew Tucker - Flat 2, 171 Fawcett Road, Southsea</t>
  </si>
  <si>
    <t>Management Fee at 7% - Flat 3, 163 Fratton Road, Portsmouth</t>
  </si>
  <si>
    <t>Amount payable to Mr Mathew Tucker - Flat 3, 163 Fratton Road, Portsmouth</t>
  </si>
  <si>
    <t>Management Fee at 7% - Shop, 196 Kingston Road, Portsmouth</t>
  </si>
  <si>
    <t>Amount payable to Mr Mathew Tucker - Shop, 196 Kingston Road, Portsmouth</t>
  </si>
  <si>
    <t>Management Fee at 7% - 196a Kingston Road, Portsmouth</t>
  </si>
  <si>
    <t>Amount payable to Mr Mathew Tucker - 196a Kingston Road, Portsmouth</t>
  </si>
  <si>
    <t>Management Fee at 7% - Flat 6, 8 Alhambra Road, Southsea</t>
  </si>
  <si>
    <t>Amount payable to Mr Mathew Tucker - Flat 6, 8 Alhambra Road, Southsea</t>
  </si>
  <si>
    <t>Management Fee at 7% - Flat 7, 12-14 Alhambra Road, Southsea</t>
  </si>
  <si>
    <t>Amount payable to Mr Mathew Tucker - Flat 7, 12-14 Alhambra Road, Southsea</t>
  </si>
  <si>
    <t>Management Fee at 7% - Flat 10, 12-14 Alhambra Road, Southsea</t>
  </si>
  <si>
    <t>Amount payable to Mr Mathew Tucker - Flat 10, 12-14 Alhambra Road, Southsea</t>
  </si>
  <si>
    <t>Management Fee at 7% - Flat 14, 12-14 Alhambra Road, Southsea</t>
  </si>
  <si>
    <t>Amount payable to Mr Mathew Tucker - Flat 14, 12-14 Alhambra Road, Southsea</t>
  </si>
  <si>
    <t>Management Fee at 7% - Flat 6, 16-18 Alhambra Road, Southsea</t>
  </si>
  <si>
    <t>Amount payable to Mr Mathew Tucker - Flat 6, 16-18 Alhambra Road, Southsea</t>
  </si>
  <si>
    <t>Management Fee at 7% - Flat 11, 16-18 Alhambra Road, Southsea</t>
  </si>
  <si>
    <t>Amount payable to Mr Mathew Tucker - Flat 11, 16-18 Alhambra Road, Southsea</t>
  </si>
  <si>
    <t>20-74-09 60458872</t>
  </si>
  <si>
    <t>FT</t>
  </si>
  <si>
    <t>PAYMENT</t>
  </si>
  <si>
    <t>REPEATPMT</t>
  </si>
  <si>
    <t>G &amp; F VALENTINO       M TUCKER           STO</t>
  </si>
  <si>
    <t>MR MATTHEW STUART     20533030728691 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</si>
  <si>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</si>
  <si>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</si>
  <si>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</si>
  <si>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</si>
  <si>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</si>
  <si>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</si>
  <si>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</si>
  <si>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CHL HOME LOAN         CHL00002/907372200 DDR</t>
  </si>
  <si>
    <t>CHL HOME LOAN         CHL00002/907371904 DDR</t>
  </si>
  <si>
    <t>PIC RE ARGOS PET      PETAG934657920001  DDR</t>
  </si>
  <si>
    <t>PLATFORM FUNDING      01050230313307     DDR</t>
  </si>
  <si>
    <t>PLATFORM FUNDING      01050229961082     DDR</t>
  </si>
  <si>
    <t xml:space="preserve">FYLES GR              RENT               FT </t>
  </si>
  <si>
    <t>BCC</t>
  </si>
  <si>
    <t>TOPAZ FIN ROSINCA     BLA00010/137376104 DDR</t>
  </si>
  <si>
    <t>TOPAZ FIN ROSINCA     BLA00010/137376006 DDR</t>
  </si>
  <si>
    <t>TOPAZ FIN ROSINCA     BLA00010/134467209 DDR</t>
  </si>
  <si>
    <t>TOPAZ FIN ROSINCA     BLA00010/134338410 DDR</t>
  </si>
  <si>
    <t>TOPAZ FIN ROSINCA     BLA00010/134333009 DDR</t>
  </si>
  <si>
    <t>TOPAZ FIN ROSINCA     BLA00010/134332909 DDR</t>
  </si>
  <si>
    <t>TOPAZ FIN ROSINCA     BLA00010/134121904 DDR</t>
  </si>
  <si>
    <t>TOPAZ FIN ROSINCA     BLA00010/132514207 DDR</t>
  </si>
  <si>
    <t>TOPAZ FIN ROSINCA     BLA00010/131992707 DDR</t>
  </si>
  <si>
    <t>TOPAZ FIN ROSINCA     BLA00010/131188407 DDR</t>
  </si>
  <si>
    <t>TOPAZ FIN ROSINCA     BLA00010/130654303 DDR</t>
  </si>
  <si>
    <t>DIRECTDEP</t>
  </si>
  <si>
    <t>BEALS ESTATE AGENT    FLAT 3169 FAWCETT  BGC</t>
  </si>
  <si>
    <t>BEALS ESTATE AGENT    196A KINGSTON ROAD BGC</t>
  </si>
  <si>
    <t>BEALS ESTATE AGENT    FLAT 2171 FAWCETT  BGC</t>
  </si>
  <si>
    <t>CASH</t>
  </si>
  <si>
    <t>BEALS ESTATE AGENT    FLAT 1412-14 ALHAM BGC</t>
  </si>
  <si>
    <t>STO</t>
  </si>
  <si>
    <t>J BOTTLE              RENT               STO</t>
  </si>
  <si>
    <t>BEALS ESTATE AGENT    FLAT 68 ALHAMBRA R BGC</t>
  </si>
  <si>
    <t>K PARSON              RENT               STO</t>
  </si>
  <si>
    <t xml:space="preserve">TIDBURY M             RENT               FT </t>
  </si>
  <si>
    <t>BEALS ESTATE AGENT    SHOP196 KINGSTON R BGC</t>
  </si>
  <si>
    <t>201280 23186385       V HAJEK 169 FAWCET STO</t>
  </si>
  <si>
    <t xml:space="preserve">INGOLDSBY K A         FLAT 19 ALHAMBRA   FT </t>
  </si>
  <si>
    <t>BEALS ESTATE AGENT    FLAT 616-18 ALHAMB BGC</t>
  </si>
  <si>
    <t>LAND ROVER FS         579452160          DDR</t>
  </si>
  <si>
    <t>PLATFORM FUNDING      01050228979115     DDR</t>
  </si>
  <si>
    <t>PLATFORM FUNDING      01050228957650     DDR</t>
  </si>
  <si>
    <t>BEALS ESTATE AGENT    FLAT 1116-18 ALHAM BGC</t>
  </si>
  <si>
    <t>CIPRIAN GEORGESCU     F2 321 LONDON ROAD BGC</t>
  </si>
  <si>
    <t>BEALS ESTATE AGENT    FLAT 3163 FRATTON  BGC</t>
  </si>
  <si>
    <t>BEALS ESTATE AGENT    FLAT 712-14 ALHAMB BGC</t>
  </si>
  <si>
    <t>PAYPAL PAYMENT        5CM22229DF5GW      DDR</t>
  </si>
  <si>
    <t xml:space="preserve">207409 40406538       TRF                FT </t>
  </si>
  <si>
    <t>SSE SOUTHERN ELECT    6882766014         STO</t>
  </si>
  <si>
    <t>BEALS ESTATE AGENT    FLAT 1012-14 ALHAM BGC</t>
  </si>
  <si>
    <t>BEALS ESTATE AGENT    FLAT 1169 FAWCETT  BGC</t>
  </si>
  <si>
    <t>BEALS ESTATE AGENT    FLAT 1321 LONDON R BGC</t>
  </si>
  <si>
    <t>A Ibiyemi             RENT 3 321 LONDON  BGC</t>
  </si>
  <si>
    <t>MISS SOPHIE H BEDF    FLAT 17 ALHAMBRA   STO</t>
  </si>
  <si>
    <t>20-53-97 30728691</t>
  </si>
  <si>
    <t>TUCKER MS     %0 P    20533030728691 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</si>
  <si>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</si>
  <si>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</si>
  <si>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</si>
  <si>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</si>
  <si>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PLATFORM FUNDING      01050229961090     DDR</t>
  </si>
  <si>
    <t>PLATFORM FUNDING      01050228964703     DDR</t>
  </si>
  <si>
    <t>TOPAZ RE SIBERITE     SIB00001/480016104 DDR</t>
  </si>
  <si>
    <t>NRAM                  NRD00001/631516204 DDR</t>
  </si>
  <si>
    <t>TOPAZ FIN JASPER      PRU00010/190859005 DDR</t>
  </si>
  <si>
    <t>M Williams            RENT               BGC</t>
  </si>
  <si>
    <t>BEALS ESTATE AGENT    FLAT 78 ALHAMBRA R BGC</t>
  </si>
  <si>
    <t>TOPAZ FIN JASPER      PRU00010/191462710 DDR</t>
  </si>
  <si>
    <t>KINGSTON UNITY        PL684048A VALENTNO STO</t>
  </si>
  <si>
    <t>SKIPTON B.S.          SBS00001/165905969 DDR</t>
  </si>
  <si>
    <t>AVIVA LIFE            014033997          DDR</t>
  </si>
  <si>
    <t>Barber Bria           DEPOSIT            BGC</t>
  </si>
  <si>
    <t>PLATFORM FUNDING      01050228957685     DDR</t>
  </si>
  <si>
    <t>TOPAZ FIN JASPER      PRU00010/190959705 DDR</t>
  </si>
  <si>
    <t>TOPAZ FIN JASPER      PRU00010/190892600 DDR</t>
  </si>
  <si>
    <t>TOPAZ FIN JASPER      PRU00010/190885203 DDR</t>
  </si>
  <si>
    <t>TOPAZ FIN JASPER      PRU00010/190885105 DDR</t>
  </si>
  <si>
    <t>TOPAZ FIN JASPER      PRU00010/190859506 DDR</t>
  </si>
  <si>
    <t>TOPAZ FIN JASPER      PRU00010/190812705 DDR</t>
  </si>
  <si>
    <t>TOPAZ FIN JASPER      PRU00010/190778206 DDR</t>
  </si>
  <si>
    <t>STUKAS G              FLAT 21 RENT       BGC</t>
  </si>
  <si>
    <t>BEALS ESTATE AGENT    FLAT 312-14 ALHAMB BGC</t>
  </si>
  <si>
    <t>ONE CALL INS SERVS    OIP-5-3104389      DDR</t>
  </si>
  <si>
    <t>BEALS ESTATE AGENT    FLAT 1216-18 ALHAM BGC</t>
  </si>
  <si>
    <t>ID MOBILE LIMITED     11245718/001       DDR</t>
  </si>
  <si>
    <t>MR MICHAEL BETTS      FT11 12-14ALHAMBRA STO</t>
  </si>
  <si>
    <t>ID MOBILE LIMITED     11888885/001       DDR</t>
  </si>
  <si>
    <t>BEALS ESTATE AGENT    FLAT 512-14 ALHAMB BGC</t>
  </si>
  <si>
    <t>BEALS ESTATE AGENT    FLAT 1612-14 ALHAM BGC</t>
  </si>
  <si>
    <t>N Raja Mohammad       RENT FOR 23C       BGC</t>
  </si>
  <si>
    <t>MR MATTHEW STUART     207409 40406538    STO</t>
  </si>
  <si>
    <t>BOOTS REWARDSCHEME    A45028400000736    DDR</t>
  </si>
  <si>
    <t>20-74-09 40406538</t>
  </si>
  <si>
    <t>ID MOBILE LIMITED     12253154/001       DDR</t>
  </si>
  <si>
    <t xml:space="preserve">207409 60458872       TRF                FT </t>
  </si>
  <si>
    <t>TUCK&amp;VALEN HSE%0 P    207409 40406538    STO</t>
  </si>
  <si>
    <t>THE HARPUR TRUST D    TUCKM8  BVALR8     DDR</t>
  </si>
  <si>
    <t>THE HARPUR TRUST D    GVALS1             DDR</t>
  </si>
  <si>
    <t>THE HARPUR TRUST D    BVAL000            DDR</t>
  </si>
  <si>
    <t>Beals notice given</t>
  </si>
  <si>
    <t>Adebusola Ibiyemi</t>
  </si>
  <si>
    <t>Chris Clark</t>
  </si>
  <si>
    <t>Lachezar Nikolav and Miss Daniella Fulker</t>
  </si>
  <si>
    <t>Lachezar Nikolav and Miss Daniella Faulker</t>
  </si>
  <si>
    <t>Marut Doyle and Miss Thunyakan Chewwaiyaphat</t>
  </si>
  <si>
    <t xml:space="preserve">Farouk Afful-Brown &amp; Joshua Omolu-Gomes </t>
  </si>
  <si>
    <t>Raja Numanunnain and Miss Hortenzia Kulcsar</t>
  </si>
  <si>
    <t>Allan Vurayayi &amp; Victor Dunira</t>
  </si>
  <si>
    <t>James Bottle</t>
  </si>
  <si>
    <t>Zofia Furczyk</t>
  </si>
  <si>
    <t>James Beynon</t>
  </si>
  <si>
    <t>Cole Downing and Miss Alice Jackman</t>
  </si>
  <si>
    <t>Roxane Bonithon and Mr Maurel Inamba</t>
  </si>
  <si>
    <t>Lukasz Ozimek</t>
  </si>
  <si>
    <t>Ana Gomes and Mr Ivo Ramos</t>
  </si>
  <si>
    <t>Gary Fyles</t>
  </si>
  <si>
    <t>Habeel Zahur and Dr Fabia Fayyaz</t>
  </si>
  <si>
    <t>Paid to 22/02/22. Di Marco end data</t>
  </si>
  <si>
    <t>Legislation &amp; Compliance  - Flat 19, 4-6 Alhambra Road, Southsea</t>
  </si>
  <si>
    <t>Legislation &amp; Compliance  - Flat 18, 4-6 Alhambra Road, Southsea</t>
  </si>
  <si>
    <t>Legislation &amp; Compliance  - Flat 4, 12-14 Alhambra Road, Southsea</t>
  </si>
  <si>
    <t>PCC COLLECTION ACC    10522094X          DDR</t>
  </si>
  <si>
    <t>C DOWNING             RENT AND WATER     STO</t>
  </si>
  <si>
    <t xml:space="preserve">MARIA C               RENT FLAT 23 4-6   FT </t>
  </si>
  <si>
    <t>SHEPHERDS FRIENDLY    PN026484A          DDR</t>
  </si>
  <si>
    <t xml:space="preserve">LINK                  82 KIMBOLTON ROAD     </t>
  </si>
  <si>
    <t>BHAM MIDSHIRES        6092045443050000   DDR</t>
  </si>
  <si>
    <t>BHAM MIDSHIRES        6792116720030000   DDR</t>
  </si>
  <si>
    <t>BHAM MIDSHIRES        6092042862000000   DDR</t>
  </si>
  <si>
    <t>BHAM MIDSHIRES        6092076296020000   DDR</t>
  </si>
  <si>
    <t>BHAM MIDSHIRES        6092036837070000   DDR</t>
  </si>
  <si>
    <t>PETER TAPEREK         GAS TOP UP13 16-18 BBP</t>
  </si>
  <si>
    <t>BHAM MIDSHIRES        6792116703030000   DDR</t>
  </si>
  <si>
    <t>BHAM MIDSHIRES        6092096352060000   DDR</t>
  </si>
  <si>
    <t>BHAM MIDSHIRES        6092021491040000   DDR</t>
  </si>
  <si>
    <t>Jake Lindemere        Flat 20 alhambra   BGC</t>
  </si>
  <si>
    <t>BHAM MIDSHIRES        6092076502030000   DDR</t>
  </si>
  <si>
    <t>Rent for period 20/12/2021 - 19/01/2022 from Mr Andrew England - Flat 10, 12-14 Alhambra Road, Southsea</t>
  </si>
  <si>
    <t>Rent for period 02/12/2021 - 01/01/2022 from Mr Michael Pedace - Flat 2, 171 Fawcett Road, Southsea</t>
  </si>
  <si>
    <t>Rent for period 06/12/2021 - 05/01/2022 from Ms Susan Parkinson - Flat 1, 169 Fawcett Road, Southsea</t>
  </si>
  <si>
    <t>Rent for period 14/12/2021 - 13/01/2022 from Mr Martin Brett - Flat 3, 163 Fratton Road, Portsmouth</t>
  </si>
  <si>
    <t>Rent for period 14/12/2021 - 13/01/2022 from Mr Aleksandra Radzevics - Flat 7, 12-14 Alhambra Road, Southsea</t>
  </si>
  <si>
    <t>Rent for period 20/01/2022 - 19/02/2022 from Mr Andrew England - Flat 10, 12-14 Alhambra Road, Southsea</t>
  </si>
  <si>
    <t>Rent for period 06/01/2022 - 05/02/2022 from Mr Paul McIlwraith - Flat 14, 12-14 Alhambra Road, Southsea</t>
  </si>
  <si>
    <t>Rent for period 12/01/2022 - 11/02/2022 from Mr Peter Taperek - Flat 6, 16-18 Alhambra Road, Southsea</t>
  </si>
  <si>
    <t>Rent for period 12/01/2022 - 11/02/2022 from Mr Sam Yates - Flat 11, 16-18 Alhambra Road, Southsea</t>
  </si>
  <si>
    <t>Rent for period 25/01/2022 - 24/02/2022 from Ms Sharon Briscoe - Flat 1, 321 London Road, Portsmouth</t>
  </si>
  <si>
    <t>Rent for period 02/01/2022 - 01/02/2022 from Mr Michael Pedace - Flat 2, 171 Fawcett Road, Southsea</t>
  </si>
  <si>
    <t>Rent for period 15/12/2021 - 14/01/2022 from Mr Graham Robinson - Flat 3, 169 Fawcett Road, Southsea</t>
  </si>
  <si>
    <t>Rent for period 06/01/2022 - 05/02/2022 from Ms Susan Parkinson - Flat 1, 169 Fawcett Road, Southsea</t>
  </si>
  <si>
    <t>Rent for period 11/01/2022 - 10/02/2022 from Mr Martin Gliszczynski (SIE-SOF T/A Pol Help) - Shop, 196 Kingston Road, Portsmouth</t>
  </si>
  <si>
    <t>Rent for period 01/01/2022 - 31/01/2022 from Ms Jo Henson - 196a Kingston Road, Portsmouth</t>
  </si>
  <si>
    <t>Rent for period 08/01/2022 - 07/02/2022 from Mr Antony Raymond Hinks - Flat 6, 8 Alhambra Road, Southsea</t>
  </si>
  <si>
    <t>Rent for period 14/01/2022 - 13/02/2022 from Mr Martin Brett - Flat 3, 163 Fratton Road, Portsmouth</t>
  </si>
  <si>
    <t>Rent for period 14/01/2022 - 13/02/2022 from Mr Aleksandra Radzevics - Flat 7, 12-14 Alhambra Road, Southsea</t>
  </si>
  <si>
    <t>3C_*BEDFORD BOROUG    ON 03 JAN          CLP</t>
  </si>
  <si>
    <t>BP BEDFORD EXPRESS    ON 02 JAN          CLP</t>
  </si>
  <si>
    <t>WWW.LIBERTY.CO.UK     ON 31 DEC          BCC</t>
  </si>
  <si>
    <t>Wagamama Limited 2    ON 03 JAN          BCC</t>
  </si>
  <si>
    <t>gohenry Limited       ON 01 JAN          BCC</t>
  </si>
  <si>
    <t>LOOKFANTASTIC.COM     ON 31 DEC          BCC</t>
  </si>
  <si>
    <t>WILKO RETAIL LIMIT    ON 31 DEC          CLP</t>
  </si>
  <si>
    <t>TESCO STORE 2105      ON 31 DEC          CLP</t>
  </si>
  <si>
    <t>BP BEDFORD EXPRESS    ON 30 DEC          CLP</t>
  </si>
  <si>
    <t>TESCO STORE 2105      ON 31 DEC          BCC</t>
  </si>
  <si>
    <t>MARKS&amp;SPENCER PLC     ON 31 DEC          BCC</t>
  </si>
  <si>
    <t>TESCO STORE 2105      ON 04 JAN          CLP</t>
  </si>
  <si>
    <t>BP BEDFORD EXPRESS    ON 03 JAN          CLP</t>
  </si>
  <si>
    <t>MARKS&amp;SPENCER PLC     ON 05 JAN          CLP</t>
  </si>
  <si>
    <t>IZ *THE PAVILION T    ON 05 JAN          CLP</t>
  </si>
  <si>
    <t>CO OPERATIVE FOOD     ON 05 JAN          CLP</t>
  </si>
  <si>
    <t>AMZNMktplace          ON 06 JAN          BCC</t>
  </si>
  <si>
    <t>TESCO STORE 2105      ON 06 JAN          CLP</t>
  </si>
  <si>
    <t>COSTCO WHOLESALE #    ON 09 JAN          BCC</t>
  </si>
  <si>
    <t>COSTA COFFEE 43035    ON 08 JAN          CLP</t>
  </si>
  <si>
    <t>BP BEDFORD EXPRESS    ON 07 JAN          CLP</t>
  </si>
  <si>
    <t>COSTA COFFEE 43035    ON 07 JAN          CLP</t>
  </si>
  <si>
    <t>BOOTS 6407            ON 07 JAN          BCC</t>
  </si>
  <si>
    <t>TESCO STORE 2105      ON 10 JAN          CLP</t>
  </si>
  <si>
    <t>PRET A MANGER         ON 10 JAN          CLP</t>
  </si>
  <si>
    <t>COSTA COFFEE 43035    ON 10 JAN          CLP</t>
  </si>
  <si>
    <t>BP BEDFORD EXPRESS    ON 09 JAN          CLP</t>
  </si>
  <si>
    <t>SALLYSALONSERVICES    ON 13 DEC          BCC</t>
  </si>
  <si>
    <t>Penhaligons Limite    ON 10 JAN          BCC</t>
  </si>
  <si>
    <t>MARKS&amp;SPENCER PLC     ON 11 JAN          CLP</t>
  </si>
  <si>
    <t>IZ *THE PAVILION T    ON 11 JAN          CLP</t>
  </si>
  <si>
    <t>BUDGENS               ON 11 JAN          CLP</t>
  </si>
  <si>
    <t>TESCO STORE 2105      ON 12 JAN          CLP</t>
  </si>
  <si>
    <t>BP BEDFORD EXPRESS    ON 11 JAN          CLP</t>
  </si>
  <si>
    <t>ALISHA C DURRANT      NAILS              BBP</t>
  </si>
  <si>
    <t>WICKES BEDFORD        ON 16 JAN          CLP</t>
  </si>
  <si>
    <t>WAITROSE              ON 16 JAN          CLP</t>
  </si>
  <si>
    <t>Wilstead tandoori     ON 15 JAN          CLP</t>
  </si>
  <si>
    <t>MARKS&amp;SPENCER PLC     ON 15 JAN          CLP</t>
  </si>
  <si>
    <t>COSTA COFFEE 43035    ON 15 JAN          CLP</t>
  </si>
  <si>
    <t>CO OPERATIVE FOOD     ON 15 JAN          BCC</t>
  </si>
  <si>
    <t>POST OFFICE COUNTE    ON 14 JAN          CLP</t>
  </si>
  <si>
    <t>COSTA COFFEE 43035    ON 14 JAN          CLP</t>
  </si>
  <si>
    <t>BUDGENS               ON 14 JAN          CLP</t>
  </si>
  <si>
    <t>BP NEWHAM AVENUE C    ON 13 JAN          CLP</t>
  </si>
  <si>
    <t>BOOTS 6407            ON 14 JAN          CLP</t>
  </si>
  <si>
    <t>KINGS ARMS            ON 14 JAN          BCC</t>
  </si>
  <si>
    <t>BOOTS 6407            ON 14 JAN          BCC</t>
  </si>
  <si>
    <t>BOOTS 6407            ON 17 JAN          CLP</t>
  </si>
  <si>
    <t>T K MAXX              ON 18 JAN          CLP</t>
  </si>
  <si>
    <t>SAINSBURY'S S/MKT     ON 18 JAN          CLP</t>
  </si>
  <si>
    <t>COSTA COFFEE 43035    ON 18 JAN          CLP</t>
  </si>
  <si>
    <t>BP BEDFORD EXPRESS    ON 17 JAN          CLP</t>
  </si>
  <si>
    <t>NEXT DIRECTORY        ON 18 JAN          BCC</t>
  </si>
  <si>
    <t>Amazon Prime*AZ7Q0    ON 18 JAN          BCC</t>
  </si>
  <si>
    <t>ZTL*THE PAVILION T    ON 18 JAN          CLP</t>
  </si>
  <si>
    <t>ZTL*THE PAVILION T    ON 19 JAN          CLP</t>
  </si>
  <si>
    <t>TESCO STORE 2105      ON 19 JAN          CLP</t>
  </si>
  <si>
    <t>SHELL 3 ELSTOW ROA    ON 19 JAN          CLP</t>
  </si>
  <si>
    <t>HOMESENSE             ON 19 JAN          CLP</t>
  </si>
  <si>
    <t>COSTA COFFEE 43035    ON 19 JAN          CLP</t>
  </si>
  <si>
    <t>MARKS&amp;SPENCER PLC     ON 19 JAN          BCC</t>
  </si>
  <si>
    <t>IZ *THE PAVILION T    ON 20 JAN          CLP</t>
  </si>
  <si>
    <t>CO OPERATIVE FOOD     ON 20 JAN          CLP</t>
  </si>
  <si>
    <t>BOOTS 6407            ON 20 JAN          CLP</t>
  </si>
  <si>
    <t>Real Health Supple    ON 20 JAN          BCC</t>
  </si>
  <si>
    <t>HOLLAND &amp; BARRETT     ON 22 JAN          CLP</t>
  </si>
  <si>
    <t>COSTA COFFEE 43035    ON 22 JAN          CLP</t>
  </si>
  <si>
    <t>CO OPERATIVE FOOD     ON 22 JAN          CLP</t>
  </si>
  <si>
    <t>BP NEWHAM AVENUE C    ON 21 JAN          CLP</t>
  </si>
  <si>
    <t>BP BEDFORD EXPRESS    ON 21 JAN          CLP</t>
  </si>
  <si>
    <t>SAINSBURY'S S/MKT     ON 22 JAN          BCC</t>
  </si>
  <si>
    <t>MILTON_KEYNES_PARK    ON 22 JAN          BCC</t>
  </si>
  <si>
    <t>ARGOS FAIRFIELD PA    ON 22 JAN          BCC</t>
  </si>
  <si>
    <t>IZ *THE PAVILION T    ON 21 JAN          CLP</t>
  </si>
  <si>
    <t>COSTA COFFEE 43035    ON 21 JAN          CLP</t>
  </si>
  <si>
    <t>TESCO STORE 2105      ON 26 JAN          CLP</t>
  </si>
  <si>
    <t>TESCO PAY AT PUMP     ON 26 JAN          BCC</t>
  </si>
  <si>
    <t>MARKS&amp;SPENCER PLC     ON 27 JAN          CLP</t>
  </si>
  <si>
    <t>BP BEDFORD EXPRESS    ON 29 JAN          CLP</t>
  </si>
  <si>
    <t>POUNDLAND LTD         ON 29 JAN          CLP</t>
  </si>
  <si>
    <t>BOOTS 6407            ON 29 JAN          CLP</t>
  </si>
  <si>
    <t>Amazon Prime*Q73YW    ON 29 JAN          BCC</t>
  </si>
  <si>
    <t>TESCO STORE 2105      ON 28 JAN          CLP</t>
  </si>
  <si>
    <t>CURRYS BEDFORD        ON 03 JAN          BCC</t>
  </si>
  <si>
    <t>WEFIX WINDOWS AND     2008 1321WINDOWS   BBP</t>
  </si>
  <si>
    <t>VEHICLE MATS UK       ON 02 JAN          BCC</t>
  </si>
  <si>
    <t>HARVEY NICHOLS UK     ON 30 DEC          BCC</t>
  </si>
  <si>
    <t>PIPELINE PLUMBING     6042 TAPS 1321LON  BBP</t>
  </si>
  <si>
    <t>HARRODS               ON 04 JAN          BCC</t>
  </si>
  <si>
    <t>EXPRESS ELECTRICAL    19433 321 LED EL   BBP</t>
  </si>
  <si>
    <t>Gucci Outlet          ON 10 JAN          BCC</t>
  </si>
  <si>
    <t>MARKS&amp;SPENCER PLC     ON 12 JAN          CLP</t>
  </si>
  <si>
    <t>COSTA COFFEE 43035    ON 12 JAN          CLP</t>
  </si>
  <si>
    <t>Bedford Hospital      ON 12 JAN          BCC</t>
  </si>
  <si>
    <t>WEFIX WINDOWS AND     2022 3163 WINDOW   BBP</t>
  </si>
  <si>
    <t>SCOTT VETERINARY C    ON 12 JAN          CLP</t>
  </si>
  <si>
    <t>Spotify P19453DFD8    ON 13 JAN          BCC</t>
  </si>
  <si>
    <t>KINGSTON DOMESTIC     532 204-6 WASHMACH BBP</t>
  </si>
  <si>
    <t>A BECK PLUMBING       11863 1412-14 BOIL BBP</t>
  </si>
  <si>
    <t>AMZ*FENG HUA XIANG    ON 15 JAN          BCC</t>
  </si>
  <si>
    <t>SUMUP *ABSOLUTE BE    ON 18 JAN          CLP</t>
  </si>
  <si>
    <t>Amazon.co.uk*LV6DK    ON 18 JAN          BCC</t>
  </si>
  <si>
    <t>AMZNMktplace          ON 19 JAN          BCC</t>
  </si>
  <si>
    <t>Amazon.co.uk*H33ZK    ON 19 JAN          BCC</t>
  </si>
  <si>
    <t xml:space="preserve">EDWARD MUNROE         MT                 FT </t>
  </si>
  <si>
    <t xml:space="preserve">IVANOV M              DEPOSIT FOR FLAT   FT </t>
  </si>
  <si>
    <t>A BECK PLUMBING       11912 GS13 16-18   BBP</t>
  </si>
  <si>
    <t>PAYPAL                PPWDL5CM222223PQ6C BGC</t>
  </si>
  <si>
    <t>HARRODS BEAUTY LTD    ON 22 JAN          BCC</t>
  </si>
  <si>
    <t>MARKS&amp;SPENCER PLC     ON 24 JAN          CLP</t>
  </si>
  <si>
    <t>BOOTS 6407            ON 24 JAN          CLP</t>
  </si>
  <si>
    <t>AMZNMktplace          ON 24 JAN          BCC</t>
  </si>
  <si>
    <t>MARKS&amp;SPENCER PLC     ON 26 JAN          CLP</t>
  </si>
  <si>
    <t>COSTA COFFEE 43035    ON 26 JAN          CLP</t>
  </si>
  <si>
    <t>BUDGENS               ON 26 JAN          CLP</t>
  </si>
  <si>
    <t>WWW.TDS.GB.COM        ON 26 JAN          BCC</t>
  </si>
  <si>
    <t>Microsoft*Ultimate    ON 26 JAN          BCC</t>
  </si>
  <si>
    <t>AMZNMktplace          ON 26 JAN          BCC</t>
  </si>
  <si>
    <t>Amazon.co.uk*MZ3JL    ON 27 JAN          BCC</t>
  </si>
  <si>
    <t>Amazon.co.uk*EG6ZD    ON 27 JAN          BCC</t>
  </si>
  <si>
    <t>INGOLDSBY A&amp;DB        Katy Rent          BGC</t>
  </si>
  <si>
    <t>AMZNMktplace          ON 30 JAN          BCC</t>
  </si>
  <si>
    <t>A BECK PLUMBING       12040BOILER131618  BBP</t>
  </si>
  <si>
    <t>A BECK PLUMBING       12038 GS 4163      BBP</t>
  </si>
  <si>
    <t>MORTGAGE TRUST        002186357 10117190 DDR</t>
  </si>
  <si>
    <t>MORTGAGE TRUST        002186356 10117190 DDR</t>
  </si>
  <si>
    <t>MORTGAGE TRUST        002186317 10117190 DDR</t>
  </si>
  <si>
    <t>MORTGAGE TRUST        002197389 10117190 DDR</t>
  </si>
  <si>
    <t>EE LIMITED            Q13077400293175655 DDR</t>
  </si>
  <si>
    <t>WWW.AMBROSEWILSON.    ON 26 JAN          BCC</t>
  </si>
  <si>
    <t>M DOYLE               23B HAMPSHIRE TER. STO</t>
  </si>
  <si>
    <t>L&amp;G INSURANCE MI      0114399215-220104  DDR</t>
  </si>
  <si>
    <t xml:space="preserve">FURCZYK Z K           JANUARYRENT        FT </t>
  </si>
  <si>
    <t>L Nikolov             RENT FOR 171 FLAT3 BGC</t>
  </si>
  <si>
    <t>A BECK  PLUMBING      11851 GS 71618     BBP</t>
  </si>
  <si>
    <t>BT GROUP PLC          GB14092007-000088  DDR</t>
  </si>
  <si>
    <t>BRIA BARBER           31618 PEST CONTROL BBP</t>
  </si>
  <si>
    <t>H3G                   980404269602240122 DDR</t>
  </si>
  <si>
    <t>A BECK  PLUMBING      12039 GS 71214     BBP</t>
  </si>
  <si>
    <t>Rent for period 01/02/2022 - 30/02/2022 from Mrs Adebusola Ibiyemi - Flat 3, 321 London Road</t>
  </si>
  <si>
    <t>Rent for period 24/12/2021 - 23/01/2022 from Mr Jake Lindemere - Flat 20, 4-6 Alhambra Road</t>
  </si>
  <si>
    <t>Rent for period 24/01/2022 - 23/02/2022 from Mr Jake Lindemere - Flat 20, 4-6 Alhambra Road</t>
  </si>
  <si>
    <t>Rent for period 18/01/2022 - 17/02/2022 from Mr Ciprian Georgescu - Flat 2, 321 London Rd</t>
  </si>
  <si>
    <t>Rent for period 18/02/2022 - 17/03/2022 from Mr Ciprian Georgescu - Flat 2, 321 London Rd</t>
  </si>
  <si>
    <t>Rent for period 07/01/2022 - 06/02/2022 from Mr James Bottle - Flat 5, 8 Alhambra Road</t>
  </si>
  <si>
    <t>Rent for period 12/01/2022 - 11/02/2022 from Miss Katherine Parson - Flat 18, 4-6 Alhambra Road</t>
  </si>
  <si>
    <t>Rent for period 10/11/2021 - 11/12/2021 from Mr Vaclav Hajek - Flat 2, 169 Fawcett Road, Southsea</t>
  </si>
  <si>
    <t>Rent for period 29/01/2022 - 28/02/2022 from Miss Sophie Bedford - Flat 17, 4-6 Alhambra Road</t>
  </si>
  <si>
    <t>Rent for period 02/01/2022 - 01/02/2022 from Mr Gary Fyles - Flat 1, 16-18 Alhambra Rd</t>
  </si>
  <si>
    <t>Rent for period 07/12/2021 - 06/01/2022 from Mr Matthew Tidbury - Flat 4, 163 Fratton Road, Portsmouth</t>
  </si>
  <si>
    <t>Rent for period 14/11/2021 - 13/12/2021 from Miss Katie Ingoldsby - Flat 19, 4-6 Alhambra Road, Southsea</t>
  </si>
  <si>
    <t>Rent for period 14/12/2021 - 13/01/2022 from Miss Katie Ingoldsby - Flat 19, 4-6 Alhambra Road, Southsea</t>
  </si>
  <si>
    <t>Rent for period 02/02/2022 - 01/03/2022 from Mr Gary Fyles - Flat 1, 16-18 Alhambra Rd</t>
  </si>
  <si>
    <t>House</t>
  </si>
  <si>
    <t>Kava Kava</t>
  </si>
  <si>
    <t>Ivana birthday</t>
  </si>
  <si>
    <t>House. Dress shop</t>
  </si>
  <si>
    <t>Electric</t>
  </si>
  <si>
    <t>Council Tax - not sure what property so assign to this as have bit, wrong ref though.</t>
  </si>
  <si>
    <t>Rent for period 01/01/2022 - 30/02/2022 from Mr Lachezar Nikolav and Miss Daniella Fulker - Flat 3, 171 Fawcett Rd</t>
  </si>
  <si>
    <t>Rent for period 15/01/2022 - 14/02/2022 from Miss Bria Barber and Mr Shawn Griffiths - Flat 3, 16-18 Alhambra Road, Southsea</t>
  </si>
  <si>
    <t>Rent for period 30/01/2022 - 29/02/2022 from Mr Raja Numanunnain and Miss Hortenzia Kulcsar - 23C Hampshire Terrace</t>
  </si>
  <si>
    <t>Rent for period 30/12/2021 - 29/01/2022 from Miss Zofia Furczyk - Flat 8, 8 Alhambra Road, Southsea</t>
  </si>
  <si>
    <t>Rent for period 15/01/2022 - 14/02/2022 from Miss Andreea Maria and Mr Cosmin Maria - Flat 23, 4-6 Alhambra Road, Southsea</t>
  </si>
  <si>
    <t>Rent for period 04/01/2022 - 03/02/2022 from Mr Marut Doyle and Miss Thunyakan Chewwaiyaphat - 23B Hampshire Terrace</t>
  </si>
  <si>
    <t>Rent for period 25/01/2022 - 24/02/2022 from Mr Michael Betts - Flat 11, 12-14 Alhambra Road, Southsea</t>
  </si>
  <si>
    <t>Rent for period 25/01/2022 - 24/02/2022 from Mr Mark Williams - First Floor Flat, 196 Kingston Road</t>
  </si>
  <si>
    <t>Rent for period 30/12/2021 - 30/01/2022 from Mr Cole Downing and Miss Alice Jackman - Flat 22, 4-6 Alhambra Rd</t>
  </si>
  <si>
    <t>Rent for period 30/01/2022 - 30/02/2022 from Mr Cole Downing and Miss Alice Jackman - Flat 22, 4-6 Alhambra Rd</t>
  </si>
  <si>
    <t>RSA</t>
  </si>
  <si>
    <t>RSA Capital expense - accountancy software</t>
  </si>
  <si>
    <t>DEPOSIT</t>
  </si>
  <si>
    <t>Refuned</t>
  </si>
  <si>
    <t>Door hinges.</t>
  </si>
  <si>
    <t>Toilet roll holder</t>
  </si>
  <si>
    <t>Toothbrush holder</t>
  </si>
  <si>
    <t>Peter. Hinge.</t>
  </si>
  <si>
    <t>Peter. Induction hobb.</t>
  </si>
  <si>
    <t>House - underwear</t>
  </si>
  <si>
    <t>House - coat</t>
  </si>
  <si>
    <t>Peter. Bathroom cabinet.</t>
  </si>
  <si>
    <t>Coat hook</t>
  </si>
  <si>
    <t>UPS send parcel</t>
  </si>
  <si>
    <t>Rent for period 22/01/2022 - 21/02/2022 from Mr Martin Ivanov - Flat 13, 16-18 Alhambra Road</t>
  </si>
  <si>
    <t>Fox &amp; Sons</t>
  </si>
  <si>
    <t>F13 IVANOV</t>
  </si>
  <si>
    <t>SPLIT</t>
  </si>
  <si>
    <t>Rent for period 22/01/2022 - 21/02/2022 from Mr G Stukas - Flat 21,  4-6 Alhambra Road</t>
  </si>
  <si>
    <t>Printer ink</t>
  </si>
  <si>
    <t>RSA Capital</t>
  </si>
  <si>
    <t>Rent for period 30/12/2021 - 29/01/2022 from Mr Andrew Austin - Flat 7, 8 Alhambra Road, Southsea</t>
  </si>
  <si>
    <t>Management Fee at 7% - Flat 7, 8 Alhambra Road, Southsea</t>
  </si>
  <si>
    <t>Amount payable to Ms Ivana Valentino - Flat 7, 8 Alhambra Road, Southsea</t>
  </si>
  <si>
    <t>Legislation &amp; Compliance  - Flat 7, 8 Alhambra Road, Southsea</t>
  </si>
  <si>
    <t>Rent for period 18/01/2022 - 17/02/2022 from Mr Andrew Greer - Flat 3, 12-14 Alhambra Road, Southsea</t>
  </si>
  <si>
    <t>Management Fee at 7%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</si>
  <si>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</si>
  <si>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</si>
  <si>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23/12/2021 - 22/01/2022 from Mr Michael Valverde - Flat 5, 12-14 Alhambra Road, Southsea</t>
  </si>
  <si>
    <t>Management Fee at 7% - Flat 5, 12-14 Alhambra Road, Southsea</t>
  </si>
  <si>
    <t>Amount payable to Ms Ivana Valentino - Flat 5, 12-14 Alhambra Road, Southsea</t>
  </si>
  <si>
    <t>Rent for period 23/01/2022 - 22/02/2022 from Mr Michael Valverde - Flat 5, 12-14 Alhambra Road, Southsea</t>
  </si>
  <si>
    <t>Legislation &amp; Compliance  - Flat 5, 12-14 Alhambra Road, Southsea</t>
  </si>
  <si>
    <t>Rent for period 19/12/2021 - 18/01/2022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</si>
  <si>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</si>
  <si>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</si>
  <si>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Rent for period 19/01/2022 - 18/02/2022 from Mr Aubrey Milligan - Flat 16, 12-14 Alhambra Road, Southsea</t>
  </si>
  <si>
    <t>Legislation &amp; Compliance  - Flat 16, 12-14 Alhambra Road, Southsea</t>
  </si>
  <si>
    <t>Rent for period 19/12/2021 - 18/01/2022 from Mr Jason Passmore - Flat 12, 16-18 Alhambra Road, Southsea</t>
  </si>
  <si>
    <t>Management Fee at 7% - Flat 12, 16-18 Alhambra Road, Southsea</t>
  </si>
  <si>
    <t>Amount payable to Ms Ivana Valentino - Flat 12, 16-18 Alhambra Road, Southsea</t>
  </si>
  <si>
    <t>Rent for period 19/01/2022 - 18/02/2022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</si>
  <si>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</si>
  <si>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</si>
  <si>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/>
  </si>
  <si>
    <t>BK,PM,EX</t>
  </si>
  <si>
    <t>BK</t>
  </si>
  <si>
    <t>BK,MT</t>
  </si>
  <si>
    <t>BK,PM,RT</t>
  </si>
  <si>
    <t>EX</t>
  </si>
  <si>
    <t>RT</t>
  </si>
  <si>
    <t>MF</t>
  </si>
  <si>
    <t>PM</t>
  </si>
  <si>
    <t>Sharon Briscoe (25/01/2019 - present)</t>
  </si>
  <si>
    <t>Cipran Georgescu (18/01/2020 - present)</t>
  </si>
  <si>
    <t>Adebusola Ibiyemi (31/03/2021 - present)</t>
  </si>
  <si>
    <t>169 Fawcett Rd</t>
  </si>
  <si>
    <t>Susan Parkinson (06/11/2016 - present)</t>
  </si>
  <si>
    <t>Vaclav Hajek (10/08/2019 - present)</t>
  </si>
  <si>
    <t>Mr Robinson (15/05/2013 - present)</t>
  </si>
  <si>
    <t>Mr Pedace (02/04/2015 - present)</t>
  </si>
  <si>
    <t>Lachezar Nikolav and Miss Daniella Fulker (31/05/2021 - present)</t>
  </si>
  <si>
    <t>Martin Brett (14/04/2010 - present)</t>
  </si>
  <si>
    <t>Matthew Tidbury (07/12/2019 - present)</t>
  </si>
  <si>
    <t>Martin Gliszczynski (SIE-SOF T/A Pol Help) (18/04/2011 - present)</t>
  </si>
  <si>
    <t>Ms J Henson (01/02/2016 - present)</t>
  </si>
  <si>
    <t>Mark Williams (25/09/2019 - present)</t>
  </si>
  <si>
    <t>Marut Doyle and Miss Thunyakan Chewwaiyaphat (04/08/2020 - present)</t>
  </si>
  <si>
    <t>Raja Numanunnain and Miss Hortenzia Kulcsar (30/07/2020 - present)</t>
  </si>
  <si>
    <t>James Bottle (07/10/2020 - present)</t>
  </si>
  <si>
    <t>Mr Hinks (08/11/2013 - present)</t>
  </si>
  <si>
    <t>Andrew Austin (30/04/2018 - present)</t>
  </si>
  <si>
    <t>Zofia Furczyk (30/04/2021 - present)</t>
  </si>
  <si>
    <t>Sophie Bedford (29/06/2020 - present)</t>
  </si>
  <si>
    <t>Katherine Parson (12/06/2020 - present)</t>
  </si>
  <si>
    <t>Katie Ingoldsby (29/06/2019 - present)</t>
  </si>
  <si>
    <t>Jake Lindemere (23/06/2020 - present)</t>
  </si>
  <si>
    <t>G Stukas (22/02/2020 - present)</t>
  </si>
  <si>
    <t>Cole Downing and Miss Alice Jackman (31/08/2021 - present)</t>
  </si>
  <si>
    <t>Andreea Maria and Mr Cosmin Maria (15/01/2020 - present)</t>
  </si>
  <si>
    <t>Andrew Greer (18/07/2017 -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</si>
  <si>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</si>
  <si>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</si>
  <si>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</si>
  <si>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</si>
  <si>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(06/03/2013 - present)</t>
  </si>
  <si>
    <t>Mr Milligan (19/03/2015 - present)</t>
  </si>
  <si>
    <t>Gary Fyles (02/07/2021 - present)</t>
  </si>
  <si>
    <t>Bria Barber and Mr Shawn Griffiths (15/01/2020 - present)</t>
  </si>
  <si>
    <t>Taperek (11/12/2009 - present)</t>
  </si>
  <si>
    <t>Sam Yates (12/05/2017 - present)</t>
  </si>
  <si>
    <t>Mr Jason Passmore (19/09/2016 - present)</t>
  </si>
  <si>
    <t>Martin Ivanov (22/01/2022 -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</si>
  <si>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</si>
  <si>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</si>
  <si>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</si>
  <si>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</si>
  <si>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</si>
  <si>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</si>
  <si>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</si>
  <si>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</si>
  <si>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</si>
  <si>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</si>
  <si>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</si>
  <si>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</si>
  <si>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</si>
  <si>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</si>
  <si>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</si>
  <si>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</si>
  <si>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</si>
  <si>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</si>
  <si>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</si>
  <si>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K Aldridge (06/01/2012 - present)</t>
  </si>
  <si>
    <t>Ana Gomes and Mr Ivo Ramos (23/08/2021 - present)</t>
  </si>
  <si>
    <t>Peter Gradon (28/02/2018 - present)</t>
  </si>
  <si>
    <t>Eviction in process</t>
  </si>
  <si>
    <t>Need to get rent statement for shop</t>
  </si>
  <si>
    <t>didn't pay AUG 21 or OCT21 Check arrears - Paid twice in June because Not Paid May - Arrears from Nov 19, Half payment again in Feb 20 and May 20, Aug 20 - Check statement</t>
  </si>
  <si>
    <t>Paid two months in Oct 21 to 1/12/21</t>
  </si>
  <si>
    <t>Paid to 27/02/2022</t>
  </si>
  <si>
    <t>Not paid FEB21, JAN 22 - dates did not carry on</t>
  </si>
  <si>
    <t>Habeel moved out 26/01/22</t>
  </si>
  <si>
    <t>Rent dates wrong. Arrears from SEP 20</t>
  </si>
  <si>
    <t>Rent dates</t>
  </si>
  <si>
    <t xml:space="preserve">Ivanov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</si>
</sst>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&quot; &quot;hh&quot;:&quot;mm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sz val="11"/>
      <color rgb="FF000000"/>
      <name val="Calibri"/>
      <family val="2"/>
    </font>
    <font>
      <i/>
      <sz val="11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2" fillId="9" borderId="0" applyNumberFormat="0" applyBorder="0" applyAlignment="0" applyProtection="0"/>
    <xf numFmtId="0" fontId="23" fillId="10" borderId="0" applyNumberFormat="0" applyBorder="0" applyAlignment="0" applyProtection="0"/>
  </cellStyleXfs>
  <cellXfs count="183">
    <xf numFmtId="0" fontId="0" fillId="0" borderId="0" xfId="0"/>
    <xf numFmtId="0" fontId="2" fillId="0" borderId="0" xfId="0" applyFont="1"/>
    <xf numFmtId="0" fontId="3" fillId="0" borderId="0" xfId="0" applyFont="1"/>
    <xf numFmtId="3" fontId="3" fillId="0" borderId="0" xfId="0" applyNumberFormat="1" applyFont="1"/>
    <xf numFmtId="166" fontId="2" fillId="0" borderId="0" xfId="0" applyNumberFormat="1" applyFont="1"/>
    <xf numFmtId="166" fontId="0" fillId="0" borderId="0" xfId="0" applyNumberFormat="1"/>
    <xf numFmtId="0" fontId="10" fillId="0" borderId="0" xfId="0" applyFont="1"/>
    <xf numFmtId="0" fontId="6" fillId="0" borderId="0" xfId="0" applyFont="1"/>
    <xf numFmtId="0" fontId="8" fillId="2" borderId="1" xfId="0" applyFont="1" applyFill="1" applyBorder="1" applyAlignment="1">
      <alignment wrapText="1"/>
    </xf>
    <xf numFmtId="0" fontId="8" fillId="2" borderId="2" xfId="0" applyFont="1" applyFill="1" applyBorder="1" applyAlignment="1">
      <alignment horizontal="left" wrapText="1"/>
    </xf>
    <xf numFmtId="0" fontId="0" fillId="0" borderId="0" xfId="0" applyAlignment="1">
      <alignment horizontal="center"/>
    </xf>
    <xf numFmtId="164" fontId="0" fillId="0" borderId="0" xfId="0" applyNumberFormat="1"/>
    <xf numFmtId="165" fontId="8" fillId="0" borderId="0" xfId="0" applyNumberFormat="1" applyFont="1"/>
    <xf numFmtId="0" fontId="0" fillId="3" borderId="4" xfId="0" applyFill="1" applyBorder="1"/>
    <xf numFmtId="0" fontId="8" fillId="2" borderId="5" xfId="0" applyFont="1" applyFill="1" applyBorder="1" applyAlignment="1">
      <alignment wrapText="1"/>
    </xf>
    <xf numFmtId="0" fontId="13" fillId="0" borderId="0" xfId="0" applyFont="1"/>
    <xf numFmtId="0" fontId="0" fillId="3" borderId="0" xfId="0" applyFill="1" applyProtection="1">
      <protection locked="0"/>
    </xf>
    <xf numFmtId="1" fontId="2" fillId="0" borderId="0" xfId="0" applyNumberFormat="1" applyFont="1"/>
    <xf numFmtId="1" fontId="0" fillId="0" borderId="0" xfId="0" applyNumberFormat="1"/>
    <xf numFmtId="0" fontId="0" fillId="0" borderId="6" xfId="0" applyBorder="1"/>
    <xf numFmtId="0" fontId="0" fillId="3" borderId="7" xfId="0" applyFill="1" applyBorder="1"/>
    <xf numFmtId="0" fontId="0" fillId="3" borderId="8" xfId="0" applyFill="1" applyBorder="1" applyProtection="1">
      <protection locked="0"/>
    </xf>
    <xf numFmtId="0" fontId="3" fillId="3" borderId="9" xfId="0" applyFont="1" applyFill="1" applyBorder="1"/>
    <xf numFmtId="0" fontId="3" fillId="3" borderId="10" xfId="0" applyFont="1" applyFill="1" applyBorder="1"/>
    <xf numFmtId="0" fontId="8" fillId="4" borderId="3" xfId="0" applyFont="1" applyFill="1" applyBorder="1" applyAlignment="1">
      <alignment wrapText="1"/>
    </xf>
    <xf numFmtId="0" fontId="8" fillId="5" borderId="11" xfId="0" applyFont="1" applyFill="1" applyBorder="1" applyAlignment="1">
      <alignment vertical="top" wrapText="1"/>
    </xf>
    <xf numFmtId="0" fontId="8" fillId="5" borderId="12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167" fontId="8" fillId="5" borderId="5" xfId="0" applyNumberFormat="1" applyFont="1" applyFill="1" applyBorder="1" applyAlignment="1">
      <alignment wrapText="1"/>
    </xf>
    <xf numFmtId="167" fontId="9" fillId="5" borderId="5" xfId="0" applyNumberFormat="1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14" fillId="5" borderId="5" xfId="0" applyFont="1" applyFill="1" applyBorder="1" applyAlignment="1">
      <alignment wrapText="1"/>
    </xf>
    <xf numFmtId="0" fontId="0" fillId="0" borderId="14" xfId="0" applyBorder="1"/>
    <xf numFmtId="0" fontId="0" fillId="3" borderId="0" xfId="0" applyFill="1"/>
    <xf numFmtId="8" fontId="0" fillId="0" borderId="0" xfId="0" applyNumberFormat="1"/>
    <xf numFmtId="8" fontId="0" fillId="0" borderId="15" xfId="0" applyNumberFormat="1" applyBorder="1"/>
    <xf numFmtId="0" fontId="0" fillId="0" borderId="5" xfId="0" applyBorder="1" applyAlignment="1">
      <alignment horizontal="left"/>
    </xf>
    <xf numFmtId="0" fontId="0" fillId="5" borderId="0" xfId="0" applyFill="1" applyProtection="1">
      <protection locked="0"/>
    </xf>
    <xf numFmtId="0" fontId="0" fillId="5" borderId="7" xfId="0" applyFill="1" applyBorder="1"/>
    <xf numFmtId="166" fontId="0" fillId="5" borderId="9" xfId="0" applyNumberFormat="1" applyFill="1" applyBorder="1"/>
    <xf numFmtId="0" fontId="0" fillId="5" borderId="6" xfId="0" applyFill="1" applyBorder="1" applyProtection="1">
      <protection locked="0"/>
    </xf>
    <xf numFmtId="0" fontId="0" fillId="0" borderId="5" xfId="0" applyBorder="1"/>
    <xf numFmtId="0" fontId="12" fillId="0" borderId="0" xfId="0" applyFont="1"/>
    <xf numFmtId="8" fontId="4" fillId="0" borderId="0" xfId="0" applyNumberFormat="1" applyFont="1"/>
    <xf numFmtId="0" fontId="0" fillId="5" borderId="14" xfId="0" applyFill="1" applyBorder="1" applyProtection="1">
      <protection locked="0"/>
    </xf>
    <xf numFmtId="169" fontId="0" fillId="0" borderId="0" xfId="0" applyNumberFormat="1"/>
    <xf numFmtId="0" fontId="5" fillId="0" borderId="0" xfId="0" applyFont="1"/>
    <xf numFmtId="0" fontId="8" fillId="5" borderId="3" xfId="0" applyFont="1" applyFill="1" applyBorder="1" applyAlignment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5" fillId="5" borderId="6" xfId="0" applyFont="1" applyFill="1" applyBorder="1" applyProtection="1">
      <protection locked="0"/>
    </xf>
    <xf numFmtId="0" fontId="0" fillId="6" borderId="0" xfId="0" applyFill="1"/>
    <xf numFmtId="0" fontId="0" fillId="7" borderId="6" xfId="0" applyFill="1" applyBorder="1" applyProtection="1">
      <protection locked="0"/>
    </xf>
    <xf numFmtId="0" fontId="3" fillId="6" borderId="0" xfId="0" applyFont="1" applyFill="1"/>
    <xf numFmtId="0" fontId="5" fillId="7" borderId="6" xfId="0" applyFont="1" applyFill="1" applyBorder="1" applyProtection="1">
      <protection locked="0"/>
    </xf>
    <xf numFmtId="1" fontId="2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0" fontId="1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/>
    <xf numFmtId="0" fontId="0" fillId="0" borderId="3" xfId="0" applyBorder="1"/>
    <xf numFmtId="0" fontId="3" fillId="0" borderId="6" xfId="0" applyFont="1" applyBorder="1"/>
    <xf numFmtId="0" fontId="0" fillId="0" borderId="10" xfId="0" applyBorder="1"/>
    <xf numFmtId="0" fontId="0" fillId="0" borderId="6" xfId="0" applyBorder="1" applyAlignment="1">
      <alignment horizontal="left"/>
    </xf>
    <xf numFmtId="22" fontId="0" fillId="0" borderId="0" xfId="0" applyNumberFormat="1"/>
    <xf numFmtId="167" fontId="5" fillId="7" borderId="6" xfId="0" applyNumberFormat="1" applyFont="1" applyFill="1" applyBorder="1" applyProtection="1">
      <protection locked="0"/>
    </xf>
    <xf numFmtId="166" fontId="5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>
      <alignment horizontal="center"/>
    </xf>
    <xf numFmtId="166" fontId="4" fillId="7" borderId="6" xfId="0" applyNumberFormat="1" applyFont="1" applyFill="1" applyBorder="1" applyAlignment="1">
      <alignment horizontal="center" wrapText="1"/>
    </xf>
    <xf numFmtId="167" fontId="5" fillId="7" borderId="9" xfId="0" applyNumberFormat="1" applyFont="1" applyFill="1" applyBorder="1" applyProtection="1">
      <protection locked="0"/>
    </xf>
    <xf numFmtId="166" fontId="5" fillId="7" borderId="9" xfId="0" applyNumberFormat="1" applyFont="1" applyFill="1" applyBorder="1" applyAlignment="1" applyProtection="1">
      <alignment horizontal="center"/>
      <protection locked="0"/>
    </xf>
    <xf numFmtId="166" fontId="15" fillId="7" borderId="6" xfId="0" applyNumberFormat="1" applyFont="1" applyFill="1" applyBorder="1" applyAlignment="1">
      <alignment horizontal="center"/>
    </xf>
    <xf numFmtId="167" fontId="5" fillId="7" borderId="14" xfId="0" applyNumberFormat="1" applyFont="1" applyFill="1" applyBorder="1" applyProtection="1">
      <protection locked="0"/>
    </xf>
    <xf numFmtId="166" fontId="5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>
      <alignment horizontal="center"/>
    </xf>
    <xf numFmtId="166" fontId="4" fillId="7" borderId="14" xfId="0" applyNumberFormat="1" applyFont="1" applyFill="1" applyBorder="1" applyAlignment="1">
      <alignment horizontal="center" wrapText="1"/>
    </xf>
    <xf numFmtId="168" fontId="7" fillId="7" borderId="5" xfId="0" applyNumberFormat="1" applyFont="1" applyFill="1" applyBorder="1" applyAlignment="1" applyProtection="1">
      <alignment horizontal="left" vertical="center"/>
      <protection locked="0"/>
    </xf>
    <xf numFmtId="167" fontId="5" fillId="7" borderId="10" xfId="0" applyNumberFormat="1" applyFont="1" applyFill="1" applyBorder="1" applyProtection="1">
      <protection locked="0"/>
    </xf>
    <xf numFmtId="0" fontId="0" fillId="0" borderId="6" xfId="0" applyBorder="1" applyAlignment="1">
      <alignment horizontal="right"/>
    </xf>
    <xf numFmtId="166" fontId="15" fillId="7" borderId="14" xfId="0" applyNumberFormat="1" applyFont="1" applyFill="1" applyBorder="1" applyAlignment="1">
      <alignment horizontal="center"/>
    </xf>
    <xf numFmtId="14" fontId="0" fillId="0" borderId="0" xfId="0" applyNumberFormat="1"/>
    <xf numFmtId="2" fontId="0" fillId="0" borderId="0" xfId="0" applyNumberFormat="1"/>
    <xf numFmtId="2" fontId="0" fillId="0" borderId="16" xfId="0" applyNumberFormat="1" applyBorder="1"/>
    <xf numFmtId="0" fontId="18" fillId="0" borderId="0" xfId="0" applyFont="1"/>
    <xf numFmtId="0" fontId="19" fillId="0" borderId="0" xfId="0" applyFont="1"/>
    <xf numFmtId="0" fontId="19" fillId="0" borderId="8" xfId="0" applyFont="1" applyBorder="1" applyAlignment="1">
      <alignment wrapText="1"/>
    </xf>
    <xf numFmtId="0" fontId="19" fillId="0" borderId="11" xfId="0" applyFont="1" applyBorder="1" applyAlignment="1">
      <alignment wrapText="1"/>
    </xf>
    <xf numFmtId="0" fontId="19" fillId="0" borderId="13" xfId="0" applyFont="1" applyBorder="1" applyAlignment="1">
      <alignment wrapText="1"/>
    </xf>
    <xf numFmtId="0" fontId="19" fillId="0" borderId="3" xfId="0" applyFont="1" applyBorder="1" applyAlignment="1">
      <alignment wrapText="1"/>
    </xf>
    <xf numFmtId="0" fontId="19" fillId="0" borderId="0" xfId="0" applyFont="1" applyAlignment="1">
      <alignment wrapText="1"/>
    </xf>
    <xf numFmtId="0" fontId="19" fillId="0" borderId="6" xfId="0" applyFont="1" applyBorder="1" applyAlignment="1">
      <alignment wrapText="1"/>
    </xf>
    <xf numFmtId="0" fontId="19" fillId="7" borderId="0" xfId="0" applyFont="1" applyFill="1" applyAlignment="1">
      <alignment wrapText="1"/>
    </xf>
    <xf numFmtId="0" fontId="19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166" fontId="0" fillId="5" borderId="14" xfId="0" applyNumberFormat="1" applyFill="1" applyBorder="1"/>
    <xf numFmtId="166" fontId="5" fillId="7" borderId="6" xfId="0" applyNumberFormat="1" applyFont="1" applyFill="1" applyBorder="1" applyAlignment="1">
      <alignment horizontal="center"/>
    </xf>
    <xf numFmtId="166" fontId="5" fillId="7" borderId="14" xfId="0" applyNumberFormat="1" applyFont="1" applyFill="1" applyBorder="1" applyAlignment="1">
      <alignment horizontal="center"/>
    </xf>
    <xf numFmtId="0" fontId="20" fillId="0" borderId="0" xfId="0" applyFont="1"/>
    <xf numFmtId="14" fontId="5" fillId="0" borderId="0" xfId="0" applyNumberFormat="1" applyFont="1"/>
    <xf numFmtId="14" fontId="12" fillId="0" borderId="0" xfId="0" applyNumberFormat="1" applyFont="1"/>
    <xf numFmtId="0" fontId="5" fillId="0" borderId="0" xfId="0" quotePrefix="1" applyFont="1"/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8" xfId="0" applyNumberFormat="1" applyBorder="1"/>
    <xf numFmtId="2" fontId="5" fillId="7" borderId="3" xfId="0" applyNumberFormat="1" applyFont="1" applyFill="1" applyBorder="1" applyAlignment="1" applyProtection="1">
      <alignment horizontal="right"/>
      <protection locked="0"/>
    </xf>
    <xf numFmtId="2" fontId="5" fillId="7" borderId="6" xfId="0" applyNumberFormat="1" applyFont="1" applyFill="1" applyBorder="1" applyAlignment="1" applyProtection="1">
      <alignment horizontal="right"/>
      <protection locked="0"/>
    </xf>
    <xf numFmtId="2" fontId="5" fillId="7" borderId="14" xfId="0" applyNumberFormat="1" applyFont="1" applyFill="1" applyBorder="1" applyAlignment="1" applyProtection="1">
      <alignment horizontal="right"/>
      <protection locked="0"/>
    </xf>
    <xf numFmtId="2" fontId="1" fillId="0" borderId="9" xfId="0" applyNumberFormat="1" applyFont="1" applyBorder="1"/>
    <xf numFmtId="0" fontId="19" fillId="0" borderId="12" xfId="0" applyFont="1" applyBorder="1" applyAlignment="1">
      <alignment wrapText="1"/>
    </xf>
    <xf numFmtId="0" fontId="5" fillId="6" borderId="6" xfId="0" applyFont="1" applyFill="1" applyBorder="1" applyProtection="1">
      <protection locked="0"/>
    </xf>
    <xf numFmtId="0" fontId="22" fillId="9" borderId="6" xfId="1" applyBorder="1"/>
    <xf numFmtId="0" fontId="23" fillId="10" borderId="6" xfId="2" applyBorder="1"/>
    <xf numFmtId="0" fontId="24" fillId="10" borderId="6" xfId="2" applyFont="1" applyBorder="1"/>
    <xf numFmtId="2" fontId="5" fillId="0" borderId="0" xfId="0" applyNumberFormat="1" applyFont="1"/>
    <xf numFmtId="0" fontId="5" fillId="8" borderId="6" xfId="0" applyFont="1" applyFill="1" applyBorder="1" applyProtection="1">
      <protection locked="0"/>
    </xf>
    <xf numFmtId="0" fontId="0" fillId="0" borderId="0" xfId="0" applyFill="1"/>
    <xf numFmtId="14" fontId="0" fillId="0" borderId="0" xfId="0" applyNumberFormat="1" applyFill="1"/>
    <xf numFmtId="0" fontId="5" fillId="0" borderId="0" xfId="0" applyFont="1" applyFill="1"/>
    <xf numFmtId="0" fontId="3" fillId="0" borderId="0" xfId="0" applyFont="1" applyFill="1"/>
    <xf numFmtId="0" fontId="0" fillId="0" borderId="0" xfId="0" applyFont="1" applyFill="1"/>
    <xf numFmtId="0" fontId="5" fillId="6" borderId="0" xfId="0" applyFont="1" applyFill="1"/>
    <xf numFmtId="0" fontId="25" fillId="0" borderId="0" xfId="0" applyFont="1"/>
    <xf numFmtId="14" fontId="0" fillId="0" borderId="0" xfId="0" applyNumberFormat="1"/>
    <xf numFmtId="0" fontId="3" fillId="11" borderId="9" xfId="0" applyFont="1" applyFill="1" applyBorder="1"/>
    <xf numFmtId="0" fontId="0" fillId="11" borderId="0" xfId="0" applyFill="1" applyProtection="1">
      <protection locked="0"/>
    </xf>
    <xf numFmtId="0" fontId="0" fillId="11" borderId="7" xfId="0" applyFill="1" applyBorder="1"/>
    <xf numFmtId="167" fontId="5" fillId="11" borderId="6" xfId="0" applyNumberFormat="1" applyFont="1" applyFill="1" applyBorder="1" applyProtection="1">
      <protection locked="0"/>
    </xf>
    <xf numFmtId="167" fontId="5" fillId="11" borderId="9" xfId="0" applyNumberFormat="1" applyFont="1" applyFill="1" applyBorder="1" applyProtection="1">
      <protection locked="0"/>
    </xf>
    <xf numFmtId="166" fontId="5" fillId="11" borderId="9" xfId="0" applyNumberFormat="1" applyFont="1" applyFill="1" applyBorder="1" applyAlignment="1" applyProtection="1">
      <alignment horizontal="center"/>
      <protection locked="0"/>
    </xf>
    <xf numFmtId="166" fontId="0" fillId="11" borderId="6" xfId="0" applyNumberFormat="1" applyFill="1" applyBorder="1" applyAlignment="1">
      <alignment horizontal="center"/>
    </xf>
    <xf numFmtId="166" fontId="4" fillId="11" borderId="6" xfId="0" applyNumberFormat="1" applyFont="1" applyFill="1" applyBorder="1" applyAlignment="1">
      <alignment horizontal="center" wrapText="1"/>
    </xf>
    <xf numFmtId="166" fontId="15" fillId="11" borderId="6" xfId="0" applyNumberFormat="1" applyFont="1" applyFill="1" applyBorder="1" applyAlignment="1">
      <alignment horizontal="center"/>
    </xf>
    <xf numFmtId="166" fontId="5" fillId="11" borderId="6" xfId="0" applyNumberFormat="1" applyFont="1" applyFill="1" applyBorder="1" applyAlignment="1">
      <alignment horizontal="center"/>
    </xf>
    <xf numFmtId="0" fontId="0" fillId="11" borderId="6" xfId="0" applyFill="1" applyBorder="1" applyProtection="1">
      <protection locked="0"/>
    </xf>
    <xf numFmtId="166" fontId="0" fillId="11" borderId="9" xfId="0" applyNumberFormat="1" applyFill="1" applyBorder="1"/>
    <xf numFmtId="2" fontId="5" fillId="11" borderId="6" xfId="0" applyNumberFormat="1" applyFont="1" applyFill="1" applyBorder="1" applyAlignment="1" applyProtection="1">
      <alignment horizontal="right"/>
      <protection locked="0"/>
    </xf>
    <xf numFmtId="0" fontId="5" fillId="11" borderId="6" xfId="0" applyFont="1" applyFill="1" applyBorder="1" applyProtection="1">
      <protection locked="0"/>
    </xf>
    <xf numFmtId="0" fontId="0" fillId="11" borderId="9" xfId="0" applyFill="1" applyBorder="1"/>
    <xf numFmtId="0" fontId="0" fillId="11" borderId="6" xfId="0" applyFill="1" applyBorder="1"/>
    <xf numFmtId="0" fontId="0" fillId="11" borderId="0" xfId="0" applyFill="1"/>
    <xf numFmtId="9" fontId="0" fillId="8" borderId="0" xfId="0" applyNumberFormat="1" applyFill="1"/>
    <xf numFmtId="9" fontId="0" fillId="8" borderId="7" xfId="0" applyNumberFormat="1" applyFill="1" applyBorder="1"/>
    <xf numFmtId="14" fontId="0" fillId="0" borderId="0" xfId="0" applyNumberFormat="1"/>
    <xf numFmtId="0" fontId="3" fillId="13" borderId="9" xfId="0" applyFont="1" applyFill="1" applyBorder="1"/>
    <xf numFmtId="0" fontId="5" fillId="5" borderId="9" xfId="0" applyFont="1" applyFill="1" applyBorder="1"/>
    <xf numFmtId="164" fontId="0" fillId="14" borderId="0" xfId="0" applyNumberFormat="1" applyFill="1"/>
    <xf numFmtId="164" fontId="5" fillId="0" borderId="0" xfId="0" applyNumberFormat="1" applyFont="1"/>
    <xf numFmtId="0" fontId="3" fillId="12" borderId="9" xfId="0" applyFont="1" applyFill="1" applyBorder="1"/>
    <xf numFmtId="14" fontId="3" fillId="0" borderId="0" xfId="0" applyNumberFormat="1" applyFont="1"/>
    <xf numFmtId="0" fontId="5" fillId="0" borderId="0" xfId="0" applyFont="1" applyProtection="1">
      <protection locked="0"/>
    </xf>
    <xf numFmtId="0" fontId="5" fillId="3" borderId="0" xfId="0" applyFont="1" applyFill="1" applyProtection="1">
      <protection locked="0"/>
    </xf>
    <xf numFmtId="0" fontId="26" fillId="0" borderId="0" xfId="0" applyFont="1"/>
    <xf numFmtId="14" fontId="0" fillId="0" borderId="0" xfId="0" applyNumberFormat="1"/>
    <xf numFmtId="164" fontId="0" fillId="12" borderId="0" xfId="0" applyNumberFormat="1" applyFill="1"/>
    <xf numFmtId="0" fontId="3" fillId="15" borderId="9" xfId="0" applyFont="1" applyFill="1" applyBorder="1"/>
    <xf numFmtId="170" fontId="0" fillId="0" borderId="0" xfId="0" applyNumberFormat="1"/>
    <xf numFmtId="0" fontId="5" fillId="16" borderId="0" xfId="0" applyFont="1" applyFill="1"/>
    <xf numFmtId="0" fontId="5" fillId="17" borderId="0" xfId="0" applyFont="1" applyFill="1"/>
    <xf numFmtId="0" fontId="0" fillId="17" borderId="0" xfId="0" applyFill="1"/>
    <xf numFmtId="0" fontId="0" fillId="18" borderId="0" xfId="0" applyFill="1"/>
    <xf numFmtId="0" fontId="5" fillId="18" borderId="0" xfId="0" applyFont="1" applyFill="1"/>
    <xf numFmtId="0" fontId="3" fillId="18" borderId="0" xfId="0" applyFont="1" applyFill="1"/>
    <xf numFmtId="0" fontId="5" fillId="13" borderId="0" xfId="0" applyFont="1" applyFill="1"/>
    <xf numFmtId="0" fontId="5" fillId="11" borderId="0" xfId="0" applyFont="1" applyFill="1"/>
    <xf numFmtId="0" fontId="0" fillId="14" borderId="0" xfId="0" applyFill="1"/>
    <xf numFmtId="0" fontId="5" fillId="14" borderId="0" xfId="0" applyFont="1" applyFill="1"/>
    <xf numFmtId="0" fontId="3" fillId="14" borderId="0" xfId="0" applyFont="1" applyFill="1"/>
    <xf numFmtId="0" fontId="27" fillId="0" borderId="0" xfId="0" applyFont="1"/>
    <xf numFmtId="14" fontId="0" fillId="0" borderId="0" xfId="0" applyNumberFormat="1"/>
    <xf numFmtId="166" fontId="5" fillId="6" borderId="9" xfId="0" applyNumberFormat="1" applyFont="1" applyFill="1" applyBorder="1" applyAlignment="1" applyProtection="1">
      <alignment horizontal="center"/>
      <protection locked="0"/>
    </xf>
    <xf numFmtId="164" fontId="0" fillId="15" borderId="0" xfId="0" applyNumberFormat="1" applyFill="1"/>
  </cellXfs>
  <cellStyles count="3">
    <cellStyle name="Bad" xfId="2" builtinId="27"/>
    <cellStyle name="Good" xfId="1" builtinId="26"/>
    <cellStyle name="Normal" xfId="0" builtin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Business/Property/Statements/processed/Beals_RentalStatement_JUL2020_21082020_207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98\Mat\My%20Documents\Business\Property\Statements\processed\Beals_RentalStatement_JUL2020_21082020_208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JUL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22" zoomScale="70" zoomScaleNormal="70" workbookViewId="0">
      <selection activeCell="F51" sqref="F51:J51"/>
    </sheetView>
  </sheetViews>
  <sheetFormatPr defaultRowHeight="12.75" x14ac:dyDescent="0.2"/>
  <cols>
    <col min="1" max="1" width="38.5703125" customWidth="1"/>
    <col min="2" max="2" width="39.140625" customWidth="1"/>
    <col min="3" max="3" width="17.7109375" customWidth="1"/>
    <col min="4" max="4" width="22.140625" customWidth="1"/>
    <col min="5" max="5" width="11.7109375" customWidth="1"/>
    <col min="6" max="6" width="13.5703125" customWidth="1"/>
    <col min="7" max="7" width="11.7109375" customWidth="1"/>
    <col min="8" max="8" width="10" customWidth="1"/>
    <col min="9" max="9" width="10.85546875" bestFit="1" customWidth="1"/>
    <col min="10" max="10" width="12.140625" bestFit="1" customWidth="1"/>
    <col min="11" max="13" width="11.7109375" customWidth="1"/>
    <col min="14" max="14" width="16.28515625" bestFit="1" customWidth="1"/>
    <col min="15" max="15" width="14.140625" customWidth="1"/>
    <col min="16" max="16" width="13.7109375" customWidth="1"/>
    <col min="17" max="17" width="16.140625" style="15" customWidth="1"/>
    <col min="18" max="18" width="50" customWidth="1"/>
    <col min="19" max="19" width="28.7109375" bestFit="1" customWidth="1"/>
    <col min="20" max="20" width="27.140625" bestFit="1" customWidth="1"/>
    <col min="21" max="22" width="13.42578125" bestFit="1" customWidth="1"/>
  </cols>
  <sheetData>
    <row r="1" spans="1:23" ht="18" x14ac:dyDescent="0.25">
      <c r="A1" s="6" t="s">
        <v>134</v>
      </c>
      <c r="Q1"/>
    </row>
    <row r="2" spans="1:23" x14ac:dyDescent="0.2">
      <c r="Q2"/>
    </row>
    <row r="3" spans="1:23" ht="15" x14ac:dyDescent="0.2">
      <c r="A3" s="7" t="s">
        <v>31</v>
      </c>
      <c r="B3" s="77">
        <v>44592</v>
      </c>
      <c r="Q3"/>
    </row>
    <row r="4" spans="1:23" ht="14.25" x14ac:dyDescent="0.2">
      <c r="A4" s="7"/>
      <c r="B4" s="7"/>
      <c r="Q4"/>
    </row>
    <row r="5" spans="1:23" ht="14.25" customHeight="1" x14ac:dyDescent="0.2">
      <c r="A5" s="46" t="s">
        <v>541</v>
      </c>
      <c r="B5" s="36"/>
      <c r="Q5"/>
    </row>
    <row r="6" spans="1:23" x14ac:dyDescent="0.2">
      <c r="A6" s="1"/>
    </row>
    <row r="7" spans="1:23" ht="28.5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544</v>
      </c>
      <c r="M7" s="24" t="s">
        <v>545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392</v>
      </c>
      <c r="T7" s="24" t="s">
        <v>409</v>
      </c>
      <c r="U7" s="24" t="s">
        <v>454</v>
      </c>
      <c r="V7" s="24" t="s">
        <v>20</v>
      </c>
    </row>
    <row r="8" spans="1:23" ht="19.5" customHeight="1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7"/>
      <c r="S8" s="41"/>
      <c r="T8" s="61"/>
      <c r="U8" s="61"/>
      <c r="V8" s="61"/>
    </row>
    <row r="9" spans="1:23" ht="12.75" customHeight="1" x14ac:dyDescent="0.2">
      <c r="A9" s="156" t="s">
        <v>630</v>
      </c>
      <c r="B9" s="37" t="s">
        <v>1037</v>
      </c>
      <c r="C9" s="38"/>
      <c r="D9" s="66"/>
      <c r="E9" s="66"/>
      <c r="F9" s="67"/>
      <c r="G9" s="68"/>
      <c r="H9" s="68"/>
      <c r="I9" s="69"/>
      <c r="J9" s="72"/>
      <c r="K9" s="70"/>
      <c r="L9" s="69">
        <v>156</v>
      </c>
      <c r="M9" s="102"/>
      <c r="N9" s="40"/>
      <c r="O9" s="67"/>
      <c r="P9" s="39" t="str">
        <f t="shared" ref="P9:P20" si="0">IFERROR(IF(M9-O9&lt;&gt;0,M9-O9,""),-O9)</f>
        <v/>
      </c>
      <c r="Q9" s="116">
        <f>IF(F9&lt;&gt;"",-(F9-G9-H9-I9-J9),0)</f>
        <v>0</v>
      </c>
      <c r="R9" s="48"/>
      <c r="S9" s="60" t="s">
        <v>197</v>
      </c>
      <c r="T9" s="61"/>
      <c r="U9" s="61"/>
      <c r="V9" s="61">
        <v>2</v>
      </c>
      <c r="W9" t="s">
        <v>559</v>
      </c>
    </row>
    <row r="10" spans="1:23" ht="12.75" customHeight="1" x14ac:dyDescent="0.2">
      <c r="A10" s="22" t="s">
        <v>53</v>
      </c>
      <c r="B10" s="16" t="s">
        <v>1046</v>
      </c>
      <c r="C10" s="20" t="s">
        <v>562</v>
      </c>
      <c r="D10" s="66">
        <v>44586</v>
      </c>
      <c r="E10" s="70">
        <v>44616</v>
      </c>
      <c r="F10" s="71">
        <v>500</v>
      </c>
      <c r="G10" s="68">
        <v>35</v>
      </c>
      <c r="H10" s="68">
        <v>7</v>
      </c>
      <c r="I10" s="69"/>
      <c r="J10" s="72">
        <v>458</v>
      </c>
      <c r="K10" s="70">
        <v>44586.500694444447</v>
      </c>
      <c r="L10" s="69">
        <v>413.2</v>
      </c>
      <c r="M10" s="102">
        <f t="shared" ref="M10:M63" si="1">IF(F10-G10-H10-I10-L10&lt;&gt;0, F10-G10-H10-I10-L10,"")</f>
        <v>44.800000000000011</v>
      </c>
      <c r="N10" s="40" t="s">
        <v>258</v>
      </c>
      <c r="O10" s="71">
        <v>142.29</v>
      </c>
      <c r="P10" s="39">
        <f t="shared" si="0"/>
        <v>-97.489999999999981</v>
      </c>
      <c r="Q10" s="117">
        <f t="shared" ref="Q10:Q63" si="2">IF(F10&lt;&gt;"",-(F10-G10-H10-I10-J10),0)</f>
        <v>0</v>
      </c>
      <c r="R10" s="54"/>
      <c r="S10" s="60" t="s">
        <v>197</v>
      </c>
      <c r="T10" s="19" t="s">
        <v>400</v>
      </c>
      <c r="U10" s="19" t="s">
        <v>410</v>
      </c>
      <c r="V10" s="19">
        <v>1</v>
      </c>
    </row>
    <row r="11" spans="1:23" ht="12.75" customHeight="1" x14ac:dyDescent="0.2">
      <c r="A11" s="159" t="s">
        <v>54</v>
      </c>
      <c r="B11" s="16" t="s">
        <v>1047</v>
      </c>
      <c r="C11" s="20" t="s">
        <v>130</v>
      </c>
      <c r="D11" s="66">
        <v>44579</v>
      </c>
      <c r="E11" s="70">
        <v>44637</v>
      </c>
      <c r="F11" s="71">
        <v>750</v>
      </c>
      <c r="G11" s="68"/>
      <c r="H11" s="68"/>
      <c r="I11" s="69"/>
      <c r="J11" s="72">
        <v>750</v>
      </c>
      <c r="K11" s="70">
        <v>44579</v>
      </c>
      <c r="L11" s="69"/>
      <c r="M11" s="102">
        <f t="shared" si="1"/>
        <v>750</v>
      </c>
      <c r="N11" s="40" t="s">
        <v>258</v>
      </c>
      <c r="O11" s="71">
        <v>125.25</v>
      </c>
      <c r="P11" s="39">
        <f t="shared" si="0"/>
        <v>624.75</v>
      </c>
      <c r="Q11" s="117">
        <f t="shared" si="2"/>
        <v>0</v>
      </c>
      <c r="R11" s="121" t="s">
        <v>1115</v>
      </c>
      <c r="S11" s="60" t="s">
        <v>197</v>
      </c>
      <c r="T11" s="19" t="s">
        <v>401</v>
      </c>
      <c r="U11" s="19" t="s">
        <v>411</v>
      </c>
      <c r="V11" s="19">
        <v>14</v>
      </c>
    </row>
    <row r="12" spans="1:23" ht="12.75" customHeight="1" x14ac:dyDescent="0.2">
      <c r="A12" s="159" t="s">
        <v>55</v>
      </c>
      <c r="B12" s="16" t="s">
        <v>1048</v>
      </c>
      <c r="C12" s="20" t="s">
        <v>130</v>
      </c>
      <c r="D12" s="66">
        <v>44593</v>
      </c>
      <c r="E12" s="70">
        <v>44622</v>
      </c>
      <c r="F12" s="71">
        <v>725</v>
      </c>
      <c r="G12" s="68"/>
      <c r="H12" s="68"/>
      <c r="I12" s="69"/>
      <c r="J12" s="72">
        <v>725</v>
      </c>
      <c r="K12" s="70">
        <v>44592</v>
      </c>
      <c r="L12" s="69"/>
      <c r="M12" s="102">
        <f t="shared" si="1"/>
        <v>725</v>
      </c>
      <c r="N12" s="40" t="s">
        <v>6</v>
      </c>
      <c r="O12" s="71">
        <v>86.43</v>
      </c>
      <c r="P12" s="39">
        <f t="shared" si="0"/>
        <v>638.56999999999994</v>
      </c>
      <c r="Q12" s="117">
        <f t="shared" si="2"/>
        <v>0</v>
      </c>
      <c r="R12" s="126" t="s">
        <v>1116</v>
      </c>
      <c r="S12" s="60" t="s">
        <v>197</v>
      </c>
      <c r="T12" s="19" t="s">
        <v>402</v>
      </c>
      <c r="U12" s="19" t="s">
        <v>412</v>
      </c>
      <c r="V12" s="19">
        <v>3</v>
      </c>
    </row>
    <row r="13" spans="1:23" ht="12.75" customHeight="1" x14ac:dyDescent="0.2">
      <c r="A13" s="166" t="s">
        <v>56</v>
      </c>
      <c r="B13" s="16" t="s">
        <v>1037</v>
      </c>
      <c r="C13" s="20"/>
      <c r="D13" s="66"/>
      <c r="E13" s="70"/>
      <c r="F13" s="71"/>
      <c r="G13" s="68"/>
      <c r="H13" s="68"/>
      <c r="I13" s="69"/>
      <c r="J13" s="72"/>
      <c r="K13" s="70"/>
      <c r="L13" s="69"/>
      <c r="M13" s="102" t="str">
        <f t="shared" si="1"/>
        <v/>
      </c>
      <c r="N13" s="40" t="s">
        <v>259</v>
      </c>
      <c r="O13" s="71">
        <v>142.32</v>
      </c>
      <c r="P13" s="39">
        <f t="shared" si="0"/>
        <v>-142.32</v>
      </c>
      <c r="Q13" s="117">
        <f t="shared" si="2"/>
        <v>0</v>
      </c>
      <c r="R13" s="54" t="s">
        <v>1108</v>
      </c>
      <c r="S13" s="60" t="s">
        <v>197</v>
      </c>
      <c r="T13" s="19" t="s">
        <v>400</v>
      </c>
      <c r="U13" s="19" t="s">
        <v>413</v>
      </c>
      <c r="V13" s="19">
        <v>4</v>
      </c>
    </row>
    <row r="14" spans="1:23" ht="12.75" customHeight="1" x14ac:dyDescent="0.2">
      <c r="A14" s="156" t="s">
        <v>1049</v>
      </c>
      <c r="B14" s="37" t="s">
        <v>1037</v>
      </c>
      <c r="C14" s="38"/>
      <c r="D14" s="66"/>
      <c r="E14" s="66"/>
      <c r="F14" s="67"/>
      <c r="G14" s="68"/>
      <c r="H14" s="68"/>
      <c r="I14" s="69"/>
      <c r="J14" s="72"/>
      <c r="K14" s="70"/>
      <c r="L14" s="69">
        <v>15</v>
      </c>
      <c r="M14" s="102">
        <f t="shared" si="1"/>
        <v>-15</v>
      </c>
      <c r="N14" s="40"/>
      <c r="O14" s="67"/>
      <c r="P14" s="39">
        <f t="shared" si="0"/>
        <v>-15</v>
      </c>
      <c r="Q14" s="117">
        <f t="shared" si="2"/>
        <v>0</v>
      </c>
      <c r="R14" s="40"/>
      <c r="S14" s="60" t="s">
        <v>197</v>
      </c>
      <c r="T14" s="19"/>
      <c r="U14" s="19"/>
      <c r="V14" s="19">
        <v>7</v>
      </c>
    </row>
    <row r="15" spans="1:23" ht="12.75" customHeight="1" x14ac:dyDescent="0.2">
      <c r="A15" s="22" t="s">
        <v>57</v>
      </c>
      <c r="B15" s="16" t="s">
        <v>1050</v>
      </c>
      <c r="C15" s="20" t="s">
        <v>562</v>
      </c>
      <c r="D15" s="66">
        <v>44536</v>
      </c>
      <c r="E15" s="66">
        <v>44597</v>
      </c>
      <c r="F15" s="71">
        <v>466.12</v>
      </c>
      <c r="G15" s="68">
        <v>32.619999999999997</v>
      </c>
      <c r="H15" s="68">
        <v>6.53</v>
      </c>
      <c r="I15" s="69">
        <v>6</v>
      </c>
      <c r="J15" s="72">
        <v>420.97</v>
      </c>
      <c r="K15" s="70">
        <v>44572.501388888886</v>
      </c>
      <c r="L15" s="69"/>
      <c r="M15" s="102">
        <f t="shared" si="1"/>
        <v>420.97</v>
      </c>
      <c r="N15" s="40" t="s">
        <v>6</v>
      </c>
      <c r="O15" s="71">
        <v>128.19</v>
      </c>
      <c r="P15" s="39">
        <f t="shared" si="0"/>
        <v>292.78000000000003</v>
      </c>
      <c r="Q15" s="117">
        <f t="shared" si="2"/>
        <v>0</v>
      </c>
      <c r="R15" s="54"/>
      <c r="S15" s="60" t="s">
        <v>197</v>
      </c>
      <c r="T15" s="19" t="s">
        <v>400</v>
      </c>
      <c r="U15" s="19" t="s">
        <v>414</v>
      </c>
      <c r="V15" s="19">
        <v>5</v>
      </c>
    </row>
    <row r="16" spans="1:23" ht="12.75" customHeight="1" x14ac:dyDescent="0.2">
      <c r="A16" s="159" t="s">
        <v>58</v>
      </c>
      <c r="B16" s="16" t="s">
        <v>1051</v>
      </c>
      <c r="C16" s="20" t="s">
        <v>130</v>
      </c>
      <c r="D16" s="66">
        <v>44510</v>
      </c>
      <c r="E16" s="70">
        <v>44541</v>
      </c>
      <c r="F16" s="71">
        <v>495</v>
      </c>
      <c r="G16" s="68"/>
      <c r="H16" s="68"/>
      <c r="I16" s="69"/>
      <c r="J16" s="72">
        <v>495</v>
      </c>
      <c r="K16" s="70">
        <v>44574</v>
      </c>
      <c r="L16" s="69"/>
      <c r="M16" s="102">
        <f t="shared" si="1"/>
        <v>495</v>
      </c>
      <c r="N16" s="40" t="s">
        <v>6</v>
      </c>
      <c r="O16" s="71">
        <v>85.92</v>
      </c>
      <c r="P16" s="39">
        <f t="shared" si="0"/>
        <v>409.08</v>
      </c>
      <c r="Q16" s="117">
        <f t="shared" si="2"/>
        <v>0</v>
      </c>
      <c r="R16" s="40"/>
      <c r="S16" s="60" t="s">
        <v>197</v>
      </c>
      <c r="T16" s="19" t="s">
        <v>402</v>
      </c>
      <c r="U16" s="64">
        <v>907372200</v>
      </c>
      <c r="V16" s="79">
        <v>6</v>
      </c>
    </row>
    <row r="17" spans="1:22" ht="12.75" customHeight="1" x14ac:dyDescent="0.2">
      <c r="A17" s="22" t="s">
        <v>59</v>
      </c>
      <c r="B17" s="16" t="s">
        <v>1052</v>
      </c>
      <c r="C17" s="20" t="s">
        <v>95</v>
      </c>
      <c r="D17" s="66">
        <v>44545</v>
      </c>
      <c r="E17" s="70">
        <v>44575</v>
      </c>
      <c r="F17" s="71">
        <v>500</v>
      </c>
      <c r="G17" s="68">
        <v>35</v>
      </c>
      <c r="H17" s="68">
        <v>7</v>
      </c>
      <c r="I17" s="69">
        <v>6</v>
      </c>
      <c r="J17" s="72">
        <v>452</v>
      </c>
      <c r="K17" s="70">
        <v>44566.663194444445</v>
      </c>
      <c r="L17" s="69"/>
      <c r="M17" s="102">
        <f t="shared" si="1"/>
        <v>452</v>
      </c>
      <c r="N17" s="40" t="s">
        <v>258</v>
      </c>
      <c r="O17" s="71">
        <v>122.69</v>
      </c>
      <c r="P17" s="39">
        <f t="shared" si="0"/>
        <v>329.31</v>
      </c>
      <c r="Q17" s="117">
        <f t="shared" si="2"/>
        <v>0</v>
      </c>
      <c r="R17" s="40"/>
      <c r="S17" s="60" t="s">
        <v>197</v>
      </c>
      <c r="T17" s="19" t="s">
        <v>401</v>
      </c>
      <c r="U17" s="19" t="s">
        <v>415</v>
      </c>
      <c r="V17" s="19">
        <v>8</v>
      </c>
    </row>
    <row r="18" spans="1:22" ht="12.75" customHeight="1" x14ac:dyDescent="0.2">
      <c r="A18" s="156"/>
      <c r="B18" s="37"/>
      <c r="C18" s="38"/>
      <c r="D18" s="66"/>
      <c r="E18" s="66"/>
      <c r="F18" s="67"/>
      <c r="G18" s="68"/>
      <c r="H18" s="68"/>
      <c r="I18" s="69"/>
      <c r="J18" s="72"/>
      <c r="K18" s="70"/>
      <c r="L18" s="69"/>
      <c r="M18" s="102" t="str">
        <f t="shared" si="1"/>
        <v/>
      </c>
      <c r="N18" s="40"/>
      <c r="O18" s="67"/>
      <c r="P18" s="39">
        <f t="shared" si="0"/>
        <v>0</v>
      </c>
      <c r="Q18" s="117">
        <f t="shared" si="2"/>
        <v>0</v>
      </c>
      <c r="R18" s="40"/>
      <c r="S18" s="60" t="s">
        <v>389</v>
      </c>
      <c r="T18" s="19"/>
      <c r="U18" s="19"/>
      <c r="V18" s="19">
        <v>50</v>
      </c>
    </row>
    <row r="19" spans="1:22" ht="12.75" customHeight="1" x14ac:dyDescent="0.2">
      <c r="A19" s="22" t="s">
        <v>186</v>
      </c>
      <c r="B19" s="16" t="s">
        <v>1105</v>
      </c>
      <c r="C19" s="20"/>
      <c r="D19" s="66"/>
      <c r="E19" s="66"/>
      <c r="F19" s="71"/>
      <c r="G19" s="68"/>
      <c r="H19" s="68"/>
      <c r="I19" s="69"/>
      <c r="J19" s="72"/>
      <c r="K19" s="70"/>
      <c r="L19" s="69"/>
      <c r="M19" s="102" t="str">
        <f t="shared" si="1"/>
        <v/>
      </c>
      <c r="N19" s="40" t="s">
        <v>258</v>
      </c>
      <c r="O19" s="71">
        <v>190.03</v>
      </c>
      <c r="P19" s="39">
        <f t="shared" si="0"/>
        <v>-190.03</v>
      </c>
      <c r="Q19" s="117">
        <f t="shared" si="2"/>
        <v>0</v>
      </c>
      <c r="R19" s="121" t="s">
        <v>1113</v>
      </c>
      <c r="S19" s="60" t="s">
        <v>197</v>
      </c>
      <c r="T19" s="19" t="s">
        <v>400</v>
      </c>
      <c r="U19" s="19" t="s">
        <v>416</v>
      </c>
      <c r="V19" s="19">
        <v>73</v>
      </c>
    </row>
    <row r="20" spans="1:22" ht="12.75" customHeight="1" x14ac:dyDescent="0.2">
      <c r="A20" s="22" t="s">
        <v>187</v>
      </c>
      <c r="B20" s="16" t="s">
        <v>1053</v>
      </c>
      <c r="C20" s="20" t="s">
        <v>95</v>
      </c>
      <c r="D20" s="66">
        <v>44532</v>
      </c>
      <c r="E20" s="70">
        <v>44593</v>
      </c>
      <c r="F20" s="71">
        <v>461.52</v>
      </c>
      <c r="G20" s="68">
        <v>32.299999999999997</v>
      </c>
      <c r="H20" s="68">
        <v>6.46</v>
      </c>
      <c r="I20" s="69">
        <v>6</v>
      </c>
      <c r="J20" s="72">
        <v>416.76</v>
      </c>
      <c r="K20" s="70">
        <v>44572.501388888886</v>
      </c>
      <c r="L20" s="69"/>
      <c r="M20" s="102">
        <f t="shared" si="1"/>
        <v>416.76</v>
      </c>
      <c r="N20" s="40" t="s">
        <v>6</v>
      </c>
      <c r="O20" s="71">
        <v>168.11</v>
      </c>
      <c r="P20" s="39">
        <f t="shared" si="0"/>
        <v>248.64999999999998</v>
      </c>
      <c r="Q20" s="117">
        <f t="shared" si="2"/>
        <v>0</v>
      </c>
      <c r="R20" s="52"/>
      <c r="S20" s="60" t="s">
        <v>197</v>
      </c>
      <c r="T20" s="19" t="s">
        <v>400</v>
      </c>
      <c r="U20" s="19" t="s">
        <v>417</v>
      </c>
      <c r="V20" s="19">
        <v>74</v>
      </c>
    </row>
    <row r="21" spans="1:22" ht="12.75" customHeight="1" x14ac:dyDescent="0.2">
      <c r="A21" s="159" t="s">
        <v>188</v>
      </c>
      <c r="B21" s="16" t="s">
        <v>1054</v>
      </c>
      <c r="C21" s="20" t="s">
        <v>130</v>
      </c>
      <c r="D21" s="66">
        <v>44562</v>
      </c>
      <c r="E21" s="70">
        <v>44622</v>
      </c>
      <c r="F21" s="71">
        <v>850</v>
      </c>
      <c r="G21" s="68"/>
      <c r="H21" s="68"/>
      <c r="I21" s="69"/>
      <c r="J21" s="72">
        <v>850</v>
      </c>
      <c r="K21" s="70">
        <v>44566</v>
      </c>
      <c r="L21" s="69"/>
      <c r="M21" s="102">
        <f t="shared" si="1"/>
        <v>850</v>
      </c>
      <c r="N21" s="40" t="s">
        <v>6</v>
      </c>
      <c r="O21" s="71">
        <v>204.32</v>
      </c>
      <c r="P21" s="39">
        <f>IFERROR(IF(M21-O21&lt;&gt;0,M21-O21,""),-O21)</f>
        <v>645.68000000000006</v>
      </c>
      <c r="Q21" s="117">
        <f t="shared" si="2"/>
        <v>0</v>
      </c>
      <c r="R21" s="126" t="s">
        <v>1116</v>
      </c>
      <c r="S21" s="60" t="s">
        <v>390</v>
      </c>
      <c r="T21" s="19" t="s">
        <v>400</v>
      </c>
      <c r="U21" s="19" t="s">
        <v>418</v>
      </c>
      <c r="V21" s="19">
        <v>75</v>
      </c>
    </row>
    <row r="22" spans="1:22" ht="12.75" customHeight="1" x14ac:dyDescent="0.2">
      <c r="A22" s="156"/>
      <c r="B22" s="37"/>
      <c r="C22" s="38"/>
      <c r="D22" s="66"/>
      <c r="E22" s="66"/>
      <c r="F22" s="67"/>
      <c r="G22" s="68"/>
      <c r="H22" s="68"/>
      <c r="I22" s="69"/>
      <c r="J22" s="72"/>
      <c r="K22" s="70"/>
      <c r="L22" s="69"/>
      <c r="M22" s="102" t="str">
        <f t="shared" si="1"/>
        <v/>
      </c>
      <c r="N22" s="40"/>
      <c r="O22" s="67"/>
      <c r="P22" s="39">
        <f t="shared" ref="P22:P63" si="3">IFERROR(IF(M22-O22&lt;&gt;0,M22-O22,""),-O22)</f>
        <v>0</v>
      </c>
      <c r="Q22" s="117">
        <f t="shared" si="2"/>
        <v>0</v>
      </c>
      <c r="R22" s="40"/>
      <c r="S22" s="60" t="s">
        <v>197</v>
      </c>
      <c r="T22" s="19"/>
      <c r="U22" s="19"/>
      <c r="V22" s="19">
        <v>12</v>
      </c>
    </row>
    <row r="23" spans="1:22" s="151" customFormat="1" ht="12.75" customHeight="1" x14ac:dyDescent="0.2">
      <c r="A23" s="135"/>
      <c r="B23" s="136"/>
      <c r="C23" s="137"/>
      <c r="D23" s="138"/>
      <c r="E23" s="139"/>
      <c r="F23" s="140"/>
      <c r="G23" s="141"/>
      <c r="H23" s="141"/>
      <c r="I23" s="142"/>
      <c r="J23" s="143"/>
      <c r="K23" s="139"/>
      <c r="L23" s="142"/>
      <c r="M23" s="144" t="str">
        <f t="shared" si="1"/>
        <v/>
      </c>
      <c r="N23" s="145"/>
      <c r="O23" s="140"/>
      <c r="P23" s="146">
        <f t="shared" si="3"/>
        <v>0</v>
      </c>
      <c r="Q23" s="147">
        <f t="shared" si="2"/>
        <v>0</v>
      </c>
      <c r="R23" s="148" t="s">
        <v>568</v>
      </c>
      <c r="S23" s="149" t="s">
        <v>197</v>
      </c>
      <c r="T23" s="150" t="s">
        <v>400</v>
      </c>
      <c r="U23" s="150" t="s">
        <v>419</v>
      </c>
      <c r="V23" s="150">
        <v>9</v>
      </c>
    </row>
    <row r="24" spans="1:22" ht="12.75" customHeight="1" x14ac:dyDescent="0.2">
      <c r="A24" s="22" t="s">
        <v>61</v>
      </c>
      <c r="B24" s="16" t="s">
        <v>1055</v>
      </c>
      <c r="C24" s="20" t="s">
        <v>95</v>
      </c>
      <c r="D24" s="66">
        <v>44544</v>
      </c>
      <c r="E24" s="70">
        <v>44605</v>
      </c>
      <c r="F24" s="71">
        <v>415.4</v>
      </c>
      <c r="G24" s="68">
        <v>29.08</v>
      </c>
      <c r="H24" s="68">
        <v>5.82</v>
      </c>
      <c r="I24" s="69">
        <v>6</v>
      </c>
      <c r="J24" s="72">
        <v>374.5</v>
      </c>
      <c r="K24" s="70">
        <v>44573.450694444444</v>
      </c>
      <c r="L24" s="69">
        <v>829.2</v>
      </c>
      <c r="M24" s="102">
        <f t="shared" si="1"/>
        <v>-454.70000000000005</v>
      </c>
      <c r="N24" s="40" t="s">
        <v>6</v>
      </c>
      <c r="O24" s="71">
        <v>129.88999999999999</v>
      </c>
      <c r="P24" s="39">
        <f t="shared" si="3"/>
        <v>-584.59</v>
      </c>
      <c r="Q24" s="117">
        <f t="shared" si="2"/>
        <v>0</v>
      </c>
      <c r="R24" s="121" t="s">
        <v>631</v>
      </c>
      <c r="S24" s="60" t="s">
        <v>197</v>
      </c>
      <c r="T24" s="19" t="s">
        <v>400</v>
      </c>
      <c r="U24" s="19" t="s">
        <v>420</v>
      </c>
      <c r="V24" s="19">
        <v>10</v>
      </c>
    </row>
    <row r="25" spans="1:22" ht="12.75" customHeight="1" x14ac:dyDescent="0.2">
      <c r="A25" s="159" t="s">
        <v>62</v>
      </c>
      <c r="B25" s="16" t="s">
        <v>1056</v>
      </c>
      <c r="C25" s="20" t="s">
        <v>130</v>
      </c>
      <c r="D25" s="66">
        <v>44537</v>
      </c>
      <c r="E25" s="70">
        <v>44567</v>
      </c>
      <c r="F25" s="71">
        <v>500</v>
      </c>
      <c r="G25" s="68"/>
      <c r="H25" s="68"/>
      <c r="I25" s="69"/>
      <c r="J25" s="72">
        <v>500</v>
      </c>
      <c r="K25" s="70">
        <v>44578</v>
      </c>
      <c r="L25" s="69">
        <v>66</v>
      </c>
      <c r="M25" s="102">
        <f t="shared" si="1"/>
        <v>434</v>
      </c>
      <c r="N25" s="40" t="s">
        <v>6</v>
      </c>
      <c r="O25" s="71">
        <v>111.13</v>
      </c>
      <c r="P25" s="39">
        <f t="shared" si="3"/>
        <v>322.87</v>
      </c>
      <c r="Q25" s="117">
        <f t="shared" si="2"/>
        <v>0</v>
      </c>
      <c r="R25" s="40"/>
      <c r="S25" s="60" t="s">
        <v>197</v>
      </c>
      <c r="T25" s="19" t="s">
        <v>401</v>
      </c>
      <c r="U25" s="19" t="s">
        <v>421</v>
      </c>
      <c r="V25" s="19">
        <v>11</v>
      </c>
    </row>
    <row r="26" spans="1:22" ht="12.75" customHeight="1" x14ac:dyDescent="0.2">
      <c r="A26" s="156"/>
      <c r="B26" s="37"/>
      <c r="C26" s="38"/>
      <c r="D26" s="66"/>
      <c r="E26" s="66"/>
      <c r="F26" s="67"/>
      <c r="G26" s="68"/>
      <c r="H26" s="68"/>
      <c r="I26" s="69"/>
      <c r="J26" s="72"/>
      <c r="K26" s="70"/>
      <c r="L26" s="69"/>
      <c r="M26" s="102" t="str">
        <f t="shared" si="1"/>
        <v/>
      </c>
      <c r="N26" s="40"/>
      <c r="O26" s="67"/>
      <c r="P26" s="39">
        <f t="shared" si="3"/>
        <v>0</v>
      </c>
      <c r="Q26" s="117">
        <f t="shared" si="2"/>
        <v>0</v>
      </c>
      <c r="R26" s="40"/>
      <c r="S26" s="60" t="s">
        <v>389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1057</v>
      </c>
      <c r="C27" s="20" t="s">
        <v>562</v>
      </c>
      <c r="D27" s="66">
        <v>44572</v>
      </c>
      <c r="E27" s="66">
        <v>44602</v>
      </c>
      <c r="F27" s="67">
        <v>350</v>
      </c>
      <c r="G27" s="68">
        <v>24.5</v>
      </c>
      <c r="H27" s="68">
        <v>4.9000000000000004</v>
      </c>
      <c r="I27" s="69">
        <v>6</v>
      </c>
      <c r="J27" s="72">
        <v>314.60000000000002</v>
      </c>
      <c r="K27" s="70">
        <v>44573.450694444444</v>
      </c>
      <c r="L27" s="69"/>
      <c r="M27" s="102">
        <f t="shared" si="1"/>
        <v>314.60000000000002</v>
      </c>
      <c r="N27" s="40" t="s">
        <v>258</v>
      </c>
      <c r="O27" s="67"/>
      <c r="P27" s="39">
        <f t="shared" si="3"/>
        <v>314.60000000000002</v>
      </c>
      <c r="Q27" s="117">
        <f t="shared" si="2"/>
        <v>0</v>
      </c>
      <c r="R27" s="121" t="s">
        <v>1109</v>
      </c>
      <c r="S27" s="60" t="s">
        <v>197</v>
      </c>
      <c r="T27" s="19" t="s">
        <v>403</v>
      </c>
      <c r="U27" s="19" t="s">
        <v>422</v>
      </c>
      <c r="V27" s="19">
        <v>17</v>
      </c>
    </row>
    <row r="28" spans="1:22" x14ac:dyDescent="0.2">
      <c r="A28" s="22" t="s">
        <v>64</v>
      </c>
      <c r="B28" s="16" t="s">
        <v>1058</v>
      </c>
      <c r="C28" s="20" t="s">
        <v>95</v>
      </c>
      <c r="D28" s="66">
        <v>44562</v>
      </c>
      <c r="E28" s="66">
        <v>44592</v>
      </c>
      <c r="F28" s="67">
        <v>520</v>
      </c>
      <c r="G28" s="68">
        <v>36.4</v>
      </c>
      <c r="H28" s="68">
        <v>7.28</v>
      </c>
      <c r="I28" s="69">
        <v>6</v>
      </c>
      <c r="J28" s="72">
        <v>470.32</v>
      </c>
      <c r="K28" s="70">
        <v>44566.663194444445</v>
      </c>
      <c r="L28" s="69"/>
      <c r="M28" s="102">
        <f t="shared" si="1"/>
        <v>470.32000000000005</v>
      </c>
      <c r="N28" s="40" t="s">
        <v>6</v>
      </c>
      <c r="O28" s="67">
        <v>156.88999999999999</v>
      </c>
      <c r="P28" s="39">
        <f t="shared" si="3"/>
        <v>313.43000000000006</v>
      </c>
      <c r="Q28" s="117">
        <f t="shared" si="2"/>
        <v>-5.6843418860808015E-14</v>
      </c>
      <c r="R28" s="54"/>
      <c r="S28" s="60" t="s">
        <v>197</v>
      </c>
      <c r="T28" s="19" t="s">
        <v>401</v>
      </c>
      <c r="U28" s="19" t="s">
        <v>423</v>
      </c>
      <c r="V28" s="19">
        <v>44</v>
      </c>
    </row>
    <row r="29" spans="1:22" ht="12.75" customHeight="1" x14ac:dyDescent="0.25">
      <c r="A29" s="159" t="s">
        <v>65</v>
      </c>
      <c r="B29" s="16" t="s">
        <v>1059</v>
      </c>
      <c r="C29" s="20" t="s">
        <v>130</v>
      </c>
      <c r="D29" s="66">
        <v>44586</v>
      </c>
      <c r="E29" s="66">
        <v>44616</v>
      </c>
      <c r="F29" s="71">
        <v>720</v>
      </c>
      <c r="G29" s="68"/>
      <c r="H29" s="68"/>
      <c r="I29" s="69"/>
      <c r="J29" s="72">
        <v>720</v>
      </c>
      <c r="K29" s="70">
        <v>44592</v>
      </c>
      <c r="L29" s="69"/>
      <c r="M29" s="102">
        <f t="shared" si="1"/>
        <v>720</v>
      </c>
      <c r="N29" s="40" t="s">
        <v>6</v>
      </c>
      <c r="O29" s="71">
        <v>186.57</v>
      </c>
      <c r="P29" s="39">
        <f t="shared" si="3"/>
        <v>533.43000000000006</v>
      </c>
      <c r="Q29" s="117">
        <f t="shared" si="2"/>
        <v>0</v>
      </c>
      <c r="R29" s="54"/>
      <c r="S29" s="60" t="s">
        <v>390</v>
      </c>
      <c r="T29" s="19" t="s">
        <v>401</v>
      </c>
      <c r="U29" s="122" t="s">
        <v>424</v>
      </c>
      <c r="V29" s="122">
        <v>16</v>
      </c>
    </row>
    <row r="30" spans="1:22" ht="12.75" customHeight="1" x14ac:dyDescent="0.2">
      <c r="A30" s="156"/>
      <c r="B30" s="37"/>
      <c r="C30" s="38"/>
      <c r="D30" s="66"/>
      <c r="E30" s="66"/>
      <c r="F30" s="67"/>
      <c r="G30" s="68"/>
      <c r="H30" s="68"/>
      <c r="I30" s="69"/>
      <c r="J30" s="72"/>
      <c r="K30" s="70"/>
      <c r="L30" s="69"/>
      <c r="M30" s="102" t="str">
        <f t="shared" si="1"/>
        <v/>
      </c>
      <c r="N30" s="40"/>
      <c r="O30" s="67"/>
      <c r="P30" s="39">
        <f t="shared" si="3"/>
        <v>0</v>
      </c>
      <c r="Q30" s="117">
        <f t="shared" si="2"/>
        <v>0</v>
      </c>
      <c r="R30" s="54"/>
      <c r="S30" s="60" t="s">
        <v>391</v>
      </c>
      <c r="T30" s="19"/>
      <c r="U30" s="19"/>
      <c r="V30" s="19">
        <v>18</v>
      </c>
    </row>
    <row r="31" spans="1:22" ht="12.75" customHeight="1" x14ac:dyDescent="0.2">
      <c r="A31" s="159" t="s">
        <v>99</v>
      </c>
      <c r="B31" s="16" t="s">
        <v>1060</v>
      </c>
      <c r="C31" s="20" t="s">
        <v>130</v>
      </c>
      <c r="D31" s="66">
        <v>44565</v>
      </c>
      <c r="E31" s="66">
        <v>44595</v>
      </c>
      <c r="F31" s="67">
        <v>775</v>
      </c>
      <c r="G31" s="68"/>
      <c r="H31" s="68"/>
      <c r="I31" s="69"/>
      <c r="J31" s="72">
        <v>775</v>
      </c>
      <c r="K31" s="70">
        <v>44565</v>
      </c>
      <c r="L31" s="69"/>
      <c r="M31" s="102">
        <f t="shared" si="1"/>
        <v>775</v>
      </c>
      <c r="N31" s="40" t="s">
        <v>6</v>
      </c>
      <c r="O31" s="67">
        <v>150.63</v>
      </c>
      <c r="P31" s="39">
        <f t="shared" si="3"/>
        <v>624.37</v>
      </c>
      <c r="Q31" s="117">
        <f t="shared" si="2"/>
        <v>0</v>
      </c>
      <c r="R31" s="54"/>
      <c r="S31" s="60" t="s">
        <v>197</v>
      </c>
      <c r="T31" s="19" t="s">
        <v>401</v>
      </c>
      <c r="U31" s="19" t="s">
        <v>425</v>
      </c>
      <c r="V31" s="19">
        <v>19</v>
      </c>
    </row>
    <row r="32" spans="1:22" ht="12.75" customHeight="1" x14ac:dyDescent="0.25">
      <c r="A32" s="159" t="s">
        <v>102</v>
      </c>
      <c r="B32" s="16" t="s">
        <v>1061</v>
      </c>
      <c r="C32" s="20" t="s">
        <v>130</v>
      </c>
      <c r="D32" s="66">
        <v>44591</v>
      </c>
      <c r="E32" s="66">
        <v>44621</v>
      </c>
      <c r="F32" s="71">
        <v>775</v>
      </c>
      <c r="G32" s="68"/>
      <c r="H32" s="68"/>
      <c r="I32" s="69"/>
      <c r="J32" s="72">
        <v>775</v>
      </c>
      <c r="K32" s="70">
        <v>44588</v>
      </c>
      <c r="L32" s="69"/>
      <c r="M32" s="102">
        <f t="shared" si="1"/>
        <v>775</v>
      </c>
      <c r="N32" s="40" t="s">
        <v>6</v>
      </c>
      <c r="O32" s="71">
        <v>485.49</v>
      </c>
      <c r="P32" s="39">
        <f t="shared" si="3"/>
        <v>289.51</v>
      </c>
      <c r="Q32" s="117">
        <f t="shared" si="2"/>
        <v>0</v>
      </c>
      <c r="R32" s="126" t="s">
        <v>1116</v>
      </c>
      <c r="S32" s="60" t="s">
        <v>390</v>
      </c>
      <c r="T32" s="19" t="s">
        <v>404</v>
      </c>
      <c r="U32" s="123" t="s">
        <v>426</v>
      </c>
      <c r="V32" s="123">
        <v>34</v>
      </c>
    </row>
    <row r="33" spans="1:22" ht="12.75" customHeight="1" x14ac:dyDescent="0.2">
      <c r="A33" s="156"/>
      <c r="B33" s="37"/>
      <c r="C33" s="38"/>
      <c r="D33" s="66"/>
      <c r="E33" s="66"/>
      <c r="F33" s="67"/>
      <c r="G33" s="68"/>
      <c r="H33" s="68"/>
      <c r="I33" s="69"/>
      <c r="J33" s="72"/>
      <c r="K33" s="66"/>
      <c r="L33" s="69"/>
      <c r="M33" s="102" t="str">
        <f t="shared" si="1"/>
        <v/>
      </c>
      <c r="N33" s="49"/>
      <c r="O33" s="67"/>
      <c r="P33" s="39">
        <f t="shared" si="3"/>
        <v>0</v>
      </c>
      <c r="Q33" s="117">
        <f t="shared" si="2"/>
        <v>0</v>
      </c>
      <c r="R33" s="40"/>
      <c r="S33" s="2" t="s">
        <v>393</v>
      </c>
      <c r="T33" s="62"/>
      <c r="U33" s="62"/>
      <c r="V33" s="62">
        <v>20</v>
      </c>
    </row>
    <row r="34" spans="1:22" ht="12.75" customHeight="1" x14ac:dyDescent="0.2">
      <c r="A34" s="159" t="s">
        <v>103</v>
      </c>
      <c r="B34" s="16" t="s">
        <v>1062</v>
      </c>
      <c r="C34" s="20" t="s">
        <v>130</v>
      </c>
      <c r="D34" s="66">
        <v>44568</v>
      </c>
      <c r="E34" s="70">
        <v>44598</v>
      </c>
      <c r="F34" s="71">
        <v>650</v>
      </c>
      <c r="G34" s="68"/>
      <c r="H34" s="68"/>
      <c r="I34" s="69"/>
      <c r="J34" s="72">
        <v>650</v>
      </c>
      <c r="K34" s="66">
        <v>44571</v>
      </c>
      <c r="L34" s="69"/>
      <c r="M34" s="102">
        <f t="shared" si="1"/>
        <v>650</v>
      </c>
      <c r="N34" s="49" t="s">
        <v>6</v>
      </c>
      <c r="O34" s="71">
        <v>160.18</v>
      </c>
      <c r="P34" s="39">
        <f t="shared" si="3"/>
        <v>489.82</v>
      </c>
      <c r="Q34" s="117">
        <f t="shared" si="2"/>
        <v>0</v>
      </c>
      <c r="R34" s="50"/>
      <c r="S34" s="60" t="s">
        <v>197</v>
      </c>
      <c r="T34" s="19" t="s">
        <v>405</v>
      </c>
      <c r="U34" s="19" t="s">
        <v>427</v>
      </c>
      <c r="V34" s="19">
        <v>31</v>
      </c>
    </row>
    <row r="35" spans="1:22" ht="12.75" customHeight="1" x14ac:dyDescent="0.2">
      <c r="A35" s="22" t="s">
        <v>66</v>
      </c>
      <c r="B35" s="16" t="s">
        <v>1063</v>
      </c>
      <c r="C35" s="20" t="s">
        <v>95</v>
      </c>
      <c r="D35" s="66">
        <v>44569</v>
      </c>
      <c r="E35" s="66">
        <v>44599</v>
      </c>
      <c r="F35" s="67">
        <v>500</v>
      </c>
      <c r="G35" s="68">
        <v>35</v>
      </c>
      <c r="H35" s="68">
        <v>7</v>
      </c>
      <c r="I35" s="69">
        <v>6</v>
      </c>
      <c r="J35" s="72">
        <v>452</v>
      </c>
      <c r="K35" s="66">
        <v>44569.434027777781</v>
      </c>
      <c r="L35" s="69"/>
      <c r="M35" s="102">
        <f t="shared" si="1"/>
        <v>452</v>
      </c>
      <c r="N35" s="49" t="s">
        <v>6</v>
      </c>
      <c r="O35" s="67">
        <v>155.44</v>
      </c>
      <c r="P35" s="39">
        <f t="shared" si="3"/>
        <v>296.56</v>
      </c>
      <c r="Q35" s="117">
        <f t="shared" si="2"/>
        <v>0</v>
      </c>
      <c r="R35" s="50"/>
      <c r="S35" s="60" t="s">
        <v>197</v>
      </c>
      <c r="T35" s="19" t="s">
        <v>406</v>
      </c>
      <c r="U35" s="19" t="s">
        <v>428</v>
      </c>
      <c r="V35" s="19">
        <v>30</v>
      </c>
    </row>
    <row r="36" spans="1:22" ht="12.75" customHeight="1" x14ac:dyDescent="0.2">
      <c r="A36" s="22" t="s">
        <v>105</v>
      </c>
      <c r="B36" s="16" t="s">
        <v>1064</v>
      </c>
      <c r="C36" s="20" t="s">
        <v>562</v>
      </c>
      <c r="D36" s="70">
        <v>44560</v>
      </c>
      <c r="E36" s="70">
        <v>44590</v>
      </c>
      <c r="F36" s="71">
        <v>500</v>
      </c>
      <c r="G36" s="68">
        <v>35</v>
      </c>
      <c r="H36" s="68">
        <v>7</v>
      </c>
      <c r="I36" s="69">
        <v>6</v>
      </c>
      <c r="J36" s="72">
        <v>452</v>
      </c>
      <c r="K36" s="70">
        <v>44566.663194444445</v>
      </c>
      <c r="L36" s="69"/>
      <c r="M36" s="102">
        <f t="shared" si="1"/>
        <v>452</v>
      </c>
      <c r="N36" s="40" t="s">
        <v>258</v>
      </c>
      <c r="O36" s="71">
        <v>155.44</v>
      </c>
      <c r="P36" s="39">
        <f t="shared" si="3"/>
        <v>296.56</v>
      </c>
      <c r="Q36" s="117">
        <f t="shared" si="2"/>
        <v>0</v>
      </c>
      <c r="R36" s="121" t="s">
        <v>1110</v>
      </c>
      <c r="S36" s="60" t="s">
        <v>390</v>
      </c>
      <c r="T36" s="19" t="s">
        <v>406</v>
      </c>
      <c r="U36" s="19" t="s">
        <v>429</v>
      </c>
      <c r="V36" s="19">
        <v>33</v>
      </c>
    </row>
    <row r="37" spans="1:22" ht="12.75" customHeight="1" x14ac:dyDescent="0.25">
      <c r="A37" s="159" t="s">
        <v>106</v>
      </c>
      <c r="B37" s="16" t="s">
        <v>1065</v>
      </c>
      <c r="C37" s="20" t="s">
        <v>130</v>
      </c>
      <c r="D37" s="66">
        <v>44560</v>
      </c>
      <c r="E37" s="66">
        <v>44590</v>
      </c>
      <c r="F37" s="71">
        <v>695</v>
      </c>
      <c r="G37" s="68"/>
      <c r="H37" s="68"/>
      <c r="I37" s="69"/>
      <c r="J37" s="72">
        <v>695</v>
      </c>
      <c r="K37" s="70">
        <v>44565</v>
      </c>
      <c r="L37" s="69">
        <v>126</v>
      </c>
      <c r="M37" s="102">
        <f t="shared" si="1"/>
        <v>569</v>
      </c>
      <c r="N37" s="40" t="s">
        <v>6</v>
      </c>
      <c r="O37" s="181">
        <v>353.23</v>
      </c>
      <c r="P37" s="39">
        <f t="shared" si="3"/>
        <v>215.76999999999998</v>
      </c>
      <c r="Q37" s="117">
        <f t="shared" si="2"/>
        <v>0</v>
      </c>
      <c r="R37" s="40"/>
      <c r="S37" s="60" t="s">
        <v>390</v>
      </c>
      <c r="T37" s="19" t="s">
        <v>407</v>
      </c>
      <c r="U37" s="123" t="s">
        <v>430</v>
      </c>
      <c r="V37" s="123">
        <v>32</v>
      </c>
    </row>
    <row r="38" spans="1:22" ht="12.75" customHeight="1" x14ac:dyDescent="0.2">
      <c r="A38" s="159" t="s">
        <v>224</v>
      </c>
      <c r="B38" s="16" t="s">
        <v>1066</v>
      </c>
      <c r="C38" s="20" t="s">
        <v>130</v>
      </c>
      <c r="D38" s="70">
        <v>44590</v>
      </c>
      <c r="E38" s="70">
        <v>44620</v>
      </c>
      <c r="F38" s="67">
        <v>650</v>
      </c>
      <c r="G38" s="68"/>
      <c r="H38" s="68"/>
      <c r="I38" s="69"/>
      <c r="J38" s="72">
        <v>650</v>
      </c>
      <c r="K38" s="70">
        <v>44589</v>
      </c>
      <c r="L38" s="69"/>
      <c r="M38" s="102">
        <f t="shared" si="1"/>
        <v>650</v>
      </c>
      <c r="N38" s="40" t="s">
        <v>6</v>
      </c>
      <c r="O38" s="67">
        <v>160.18</v>
      </c>
      <c r="P38" s="39">
        <f t="shared" si="3"/>
        <v>489.82</v>
      </c>
      <c r="Q38" s="117">
        <f t="shared" si="2"/>
        <v>0</v>
      </c>
      <c r="R38" s="50"/>
      <c r="S38" s="60" t="s">
        <v>197</v>
      </c>
      <c r="T38" s="19" t="s">
        <v>405</v>
      </c>
      <c r="U38" s="19" t="s">
        <v>431</v>
      </c>
      <c r="V38" s="19">
        <v>26</v>
      </c>
    </row>
    <row r="39" spans="1:22" ht="12.75" customHeight="1" x14ac:dyDescent="0.2">
      <c r="A39" s="159" t="s">
        <v>226</v>
      </c>
      <c r="B39" s="16" t="s">
        <v>1067</v>
      </c>
      <c r="C39" s="20" t="s">
        <v>130</v>
      </c>
      <c r="D39" s="70">
        <v>44573</v>
      </c>
      <c r="E39" s="70">
        <v>44603</v>
      </c>
      <c r="F39" s="67">
        <v>630</v>
      </c>
      <c r="G39" s="68"/>
      <c r="H39" s="68"/>
      <c r="I39" s="69"/>
      <c r="J39" s="72">
        <v>630</v>
      </c>
      <c r="K39" s="66">
        <v>44573</v>
      </c>
      <c r="L39" s="69"/>
      <c r="M39" s="102">
        <f t="shared" si="1"/>
        <v>630</v>
      </c>
      <c r="N39" s="40" t="s">
        <v>6</v>
      </c>
      <c r="O39" s="67">
        <v>160.18</v>
      </c>
      <c r="P39" s="39">
        <f t="shared" si="3"/>
        <v>469.82</v>
      </c>
      <c r="Q39" s="117">
        <f t="shared" si="2"/>
        <v>0</v>
      </c>
      <c r="R39" s="40"/>
      <c r="S39" s="60" t="s">
        <v>197</v>
      </c>
      <c r="T39" s="19" t="s">
        <v>405</v>
      </c>
      <c r="U39" s="19" t="s">
        <v>432</v>
      </c>
      <c r="V39" s="19">
        <v>22</v>
      </c>
    </row>
    <row r="40" spans="1:22" ht="12.75" customHeight="1" x14ac:dyDescent="0.2">
      <c r="A40" s="159" t="s">
        <v>227</v>
      </c>
      <c r="B40" s="16" t="s">
        <v>1068</v>
      </c>
      <c r="C40" s="20" t="s">
        <v>130</v>
      </c>
      <c r="D40" s="70">
        <v>44514</v>
      </c>
      <c r="E40" s="70">
        <v>44574</v>
      </c>
      <c r="F40" s="71">
        <v>800</v>
      </c>
      <c r="G40" s="68"/>
      <c r="H40" s="68"/>
      <c r="I40" s="69"/>
      <c r="J40" s="72">
        <v>800</v>
      </c>
      <c r="K40" s="70">
        <v>44578</v>
      </c>
      <c r="L40" s="69"/>
      <c r="M40" s="102">
        <f t="shared" si="1"/>
        <v>800</v>
      </c>
      <c r="N40" s="40" t="s">
        <v>6</v>
      </c>
      <c r="O40" s="71">
        <v>184.81</v>
      </c>
      <c r="P40" s="39">
        <f t="shared" si="3"/>
        <v>615.19000000000005</v>
      </c>
      <c r="Q40" s="117">
        <f t="shared" si="2"/>
        <v>0</v>
      </c>
      <c r="R40" s="40"/>
      <c r="S40" s="60" t="s">
        <v>197</v>
      </c>
      <c r="T40" s="19" t="s">
        <v>406</v>
      </c>
      <c r="U40" s="19" t="s">
        <v>433</v>
      </c>
      <c r="V40" s="19">
        <v>21</v>
      </c>
    </row>
    <row r="41" spans="1:22" ht="12.75" customHeight="1" x14ac:dyDescent="0.2">
      <c r="A41" s="159" t="s">
        <v>228</v>
      </c>
      <c r="B41" s="16" t="s">
        <v>1069</v>
      </c>
      <c r="C41" s="20" t="s">
        <v>130</v>
      </c>
      <c r="D41" s="66">
        <v>44554</v>
      </c>
      <c r="E41" s="66">
        <v>44615</v>
      </c>
      <c r="F41" s="67">
        <v>865</v>
      </c>
      <c r="G41" s="68"/>
      <c r="H41" s="68"/>
      <c r="I41" s="69"/>
      <c r="J41" s="72">
        <v>865</v>
      </c>
      <c r="K41" s="66">
        <v>44567</v>
      </c>
      <c r="L41" s="69">
        <v>69</v>
      </c>
      <c r="M41" s="102">
        <f t="shared" si="1"/>
        <v>796</v>
      </c>
      <c r="N41" s="40" t="s">
        <v>6</v>
      </c>
      <c r="O41" s="67">
        <v>183.34</v>
      </c>
      <c r="P41" s="39">
        <f t="shared" si="3"/>
        <v>612.66</v>
      </c>
      <c r="Q41" s="117">
        <f t="shared" si="2"/>
        <v>0</v>
      </c>
      <c r="R41" s="50"/>
      <c r="S41" s="60" t="s">
        <v>197</v>
      </c>
      <c r="T41" s="19" t="s">
        <v>406</v>
      </c>
      <c r="U41" s="19" t="s">
        <v>434</v>
      </c>
      <c r="V41" s="19">
        <v>25</v>
      </c>
    </row>
    <row r="42" spans="1:22" ht="12.75" customHeight="1" x14ac:dyDescent="0.25">
      <c r="A42" s="159" t="s">
        <v>107</v>
      </c>
      <c r="B42" s="16" t="s">
        <v>1070</v>
      </c>
      <c r="C42" s="20" t="s">
        <v>130</v>
      </c>
      <c r="D42" s="66">
        <v>44583</v>
      </c>
      <c r="E42" s="66">
        <v>44613</v>
      </c>
      <c r="F42" s="71">
        <v>625</v>
      </c>
      <c r="G42" s="68"/>
      <c r="H42" s="68"/>
      <c r="I42" s="69"/>
      <c r="J42" s="72">
        <v>625</v>
      </c>
      <c r="K42" s="70">
        <v>44582</v>
      </c>
      <c r="L42" s="69"/>
      <c r="M42" s="102">
        <f t="shared" si="1"/>
        <v>625</v>
      </c>
      <c r="N42" s="40" t="s">
        <v>6</v>
      </c>
      <c r="O42" s="71">
        <v>340.6</v>
      </c>
      <c r="P42" s="39">
        <f t="shared" si="3"/>
        <v>284.39999999999998</v>
      </c>
      <c r="Q42" s="117">
        <f t="shared" si="2"/>
        <v>0</v>
      </c>
      <c r="R42" s="50"/>
      <c r="S42" s="60" t="s">
        <v>390</v>
      </c>
      <c r="T42" s="19" t="s">
        <v>408</v>
      </c>
      <c r="U42" s="123" t="s">
        <v>435</v>
      </c>
      <c r="V42" s="123">
        <v>28</v>
      </c>
    </row>
    <row r="43" spans="1:22" ht="12.75" customHeight="1" x14ac:dyDescent="0.25">
      <c r="A43" s="159" t="s">
        <v>67</v>
      </c>
      <c r="B43" s="16" t="s">
        <v>1071</v>
      </c>
      <c r="C43" s="20" t="s">
        <v>130</v>
      </c>
      <c r="D43" s="66">
        <v>44560</v>
      </c>
      <c r="E43" s="66">
        <v>44622</v>
      </c>
      <c r="F43" s="71">
        <v>1710</v>
      </c>
      <c r="G43" s="68"/>
      <c r="H43" s="68"/>
      <c r="I43" s="69"/>
      <c r="J43" s="72">
        <v>1710</v>
      </c>
      <c r="K43" s="70">
        <v>44565</v>
      </c>
      <c r="L43" s="69"/>
      <c r="M43" s="102">
        <f t="shared" si="1"/>
        <v>1710</v>
      </c>
      <c r="N43" s="40" t="s">
        <v>6</v>
      </c>
      <c r="O43" s="71">
        <v>183.02</v>
      </c>
      <c r="P43" s="39">
        <f t="shared" si="3"/>
        <v>1526.98</v>
      </c>
      <c r="Q43" s="117">
        <f t="shared" si="2"/>
        <v>0</v>
      </c>
      <c r="R43" s="50"/>
      <c r="S43" s="60" t="s">
        <v>390</v>
      </c>
      <c r="T43" s="19" t="s">
        <v>406</v>
      </c>
      <c r="U43" s="123" t="s">
        <v>436</v>
      </c>
      <c r="V43" s="123">
        <v>23</v>
      </c>
    </row>
    <row r="44" spans="1:22" ht="12.75" customHeight="1" x14ac:dyDescent="0.25">
      <c r="A44" s="159" t="s">
        <v>109</v>
      </c>
      <c r="B44" s="16" t="s">
        <v>1072</v>
      </c>
      <c r="C44" s="20" t="s">
        <v>130</v>
      </c>
      <c r="D44" s="66">
        <v>44576</v>
      </c>
      <c r="E44" s="66">
        <v>44606</v>
      </c>
      <c r="F44" s="71">
        <v>700</v>
      </c>
      <c r="G44" s="68"/>
      <c r="H44" s="68"/>
      <c r="I44" s="69"/>
      <c r="J44" s="72">
        <v>700</v>
      </c>
      <c r="K44" s="70">
        <v>44578</v>
      </c>
      <c r="L44" s="69"/>
      <c r="M44" s="102">
        <f t="shared" si="1"/>
        <v>700</v>
      </c>
      <c r="N44" s="40" t="s">
        <v>6</v>
      </c>
      <c r="O44" s="71">
        <v>184.52</v>
      </c>
      <c r="P44" s="39">
        <f t="shared" si="3"/>
        <v>515.48</v>
      </c>
      <c r="Q44" s="117">
        <f t="shared" si="2"/>
        <v>0</v>
      </c>
      <c r="R44" s="50"/>
      <c r="S44" s="60" t="s">
        <v>390</v>
      </c>
      <c r="T44" s="19" t="s">
        <v>406</v>
      </c>
      <c r="U44" s="124" t="s">
        <v>437</v>
      </c>
      <c r="V44" s="124">
        <v>27</v>
      </c>
    </row>
    <row r="45" spans="1:22" ht="12.75" customHeight="1" x14ac:dyDescent="0.2">
      <c r="A45" s="156"/>
      <c r="B45" s="37"/>
      <c r="C45" s="38"/>
      <c r="D45" s="66"/>
      <c r="E45" s="66"/>
      <c r="F45" s="67"/>
      <c r="G45" s="68"/>
      <c r="H45" s="68"/>
      <c r="I45" s="69"/>
      <c r="J45" s="72"/>
      <c r="K45" s="70"/>
      <c r="L45" s="69"/>
      <c r="M45" s="102" t="str">
        <f t="shared" si="1"/>
        <v/>
      </c>
      <c r="N45" s="40"/>
      <c r="O45" s="67"/>
      <c r="P45" s="39">
        <f t="shared" si="3"/>
        <v>0</v>
      </c>
      <c r="Q45" s="117">
        <f t="shared" si="2"/>
        <v>0</v>
      </c>
      <c r="R45" s="50"/>
      <c r="S45" s="2" t="s">
        <v>393</v>
      </c>
      <c r="T45" s="62"/>
      <c r="U45" s="62"/>
      <c r="V45" s="62">
        <v>51</v>
      </c>
    </row>
    <row r="46" spans="1:22" ht="12.75" customHeight="1" x14ac:dyDescent="0.25">
      <c r="A46" s="182" t="s">
        <v>68</v>
      </c>
      <c r="B46" s="16" t="s">
        <v>1073</v>
      </c>
      <c r="C46" s="20" t="s">
        <v>562</v>
      </c>
      <c r="D46" s="66">
        <v>44579</v>
      </c>
      <c r="E46" s="66">
        <v>44609</v>
      </c>
      <c r="F46" s="71">
        <v>525</v>
      </c>
      <c r="G46" s="68">
        <v>36.75</v>
      </c>
      <c r="H46" s="68">
        <v>7.35</v>
      </c>
      <c r="I46" s="69">
        <v>6</v>
      </c>
      <c r="J46" s="72">
        <v>474.9</v>
      </c>
      <c r="K46" s="70">
        <v>44579.568055555559</v>
      </c>
      <c r="L46" s="69"/>
      <c r="M46" s="102">
        <f t="shared" si="1"/>
        <v>474.9</v>
      </c>
      <c r="N46" s="40" t="s">
        <v>6</v>
      </c>
      <c r="O46" s="71">
        <v>166.25</v>
      </c>
      <c r="P46" s="39">
        <f t="shared" si="3"/>
        <v>308.64999999999998</v>
      </c>
      <c r="Q46" s="117">
        <f t="shared" si="2"/>
        <v>0</v>
      </c>
      <c r="R46" s="50"/>
      <c r="S46" s="60" t="s">
        <v>390</v>
      </c>
      <c r="T46" s="19" t="s">
        <v>400</v>
      </c>
      <c r="U46" s="122" t="s">
        <v>438</v>
      </c>
      <c r="V46" s="122">
        <v>46</v>
      </c>
    </row>
    <row r="47" spans="1:22" ht="12.75" customHeight="1" x14ac:dyDescent="0.2">
      <c r="A47" s="165" t="s">
        <v>69</v>
      </c>
      <c r="B47" s="16" t="s">
        <v>1106</v>
      </c>
      <c r="C47" s="20"/>
      <c r="D47" s="66"/>
      <c r="E47" s="66"/>
      <c r="F47" s="67"/>
      <c r="G47" s="68"/>
      <c r="H47" s="68"/>
      <c r="I47" s="69"/>
      <c r="J47" s="72"/>
      <c r="K47" s="70"/>
      <c r="L47" s="69"/>
      <c r="M47" s="102" t="str">
        <f t="shared" si="1"/>
        <v/>
      </c>
      <c r="N47" s="40" t="s">
        <v>6</v>
      </c>
      <c r="O47" s="67">
        <v>50.64</v>
      </c>
      <c r="P47" s="39">
        <f t="shared" si="3"/>
        <v>-50.64</v>
      </c>
      <c r="Q47" s="117">
        <f t="shared" si="2"/>
        <v>0</v>
      </c>
      <c r="R47" s="54" t="s">
        <v>784</v>
      </c>
      <c r="S47" s="60" t="s">
        <v>197</v>
      </c>
      <c r="T47" s="19" t="s">
        <v>401</v>
      </c>
      <c r="U47" s="19" t="s">
        <v>439</v>
      </c>
      <c r="V47" s="19">
        <v>52</v>
      </c>
    </row>
    <row r="48" spans="1:22" ht="12.75" customHeight="1" x14ac:dyDescent="0.25">
      <c r="A48" s="22" t="s">
        <v>86</v>
      </c>
      <c r="B48" s="162" t="s">
        <v>1074</v>
      </c>
      <c r="C48" s="20" t="s">
        <v>95</v>
      </c>
      <c r="D48" s="66">
        <v>44553</v>
      </c>
      <c r="E48" s="66">
        <v>44614</v>
      </c>
      <c r="F48" s="71">
        <v>452.32</v>
      </c>
      <c r="G48" s="68">
        <v>31.67</v>
      </c>
      <c r="H48" s="68">
        <v>6.33</v>
      </c>
      <c r="I48" s="69">
        <v>6</v>
      </c>
      <c r="J48" s="72">
        <v>408.32</v>
      </c>
      <c r="K48" s="70">
        <v>44572.501388888886</v>
      </c>
      <c r="L48" s="69"/>
      <c r="M48" s="102">
        <f t="shared" si="1"/>
        <v>408.32</v>
      </c>
      <c r="N48" s="40" t="s">
        <v>6</v>
      </c>
      <c r="O48" s="71">
        <v>166.22</v>
      </c>
      <c r="P48" s="39">
        <f t="shared" si="3"/>
        <v>242.1</v>
      </c>
      <c r="Q48" s="117">
        <f t="shared" si="2"/>
        <v>0</v>
      </c>
      <c r="R48" s="40"/>
      <c r="S48" s="60" t="s">
        <v>390</v>
      </c>
      <c r="T48" s="19" t="s">
        <v>400</v>
      </c>
      <c r="U48" s="122" t="s">
        <v>440</v>
      </c>
      <c r="V48" s="122">
        <v>47</v>
      </c>
    </row>
    <row r="49" spans="1:22" x14ac:dyDescent="0.2">
      <c r="A49" s="22" t="s">
        <v>111</v>
      </c>
      <c r="B49" s="162" t="s">
        <v>1075</v>
      </c>
      <c r="C49" s="20" t="s">
        <v>95</v>
      </c>
      <c r="D49" s="70">
        <v>44544</v>
      </c>
      <c r="E49" s="70">
        <v>44605</v>
      </c>
      <c r="F49" s="71">
        <v>461.52</v>
      </c>
      <c r="G49" s="68">
        <v>32.32</v>
      </c>
      <c r="H49" s="68">
        <v>6.46</v>
      </c>
      <c r="I49" s="69">
        <v>6</v>
      </c>
      <c r="J49" s="72">
        <v>416.74</v>
      </c>
      <c r="K49" s="70">
        <v>44572.501388888886</v>
      </c>
      <c r="L49" s="69">
        <v>54</v>
      </c>
      <c r="M49" s="102">
        <f t="shared" si="1"/>
        <v>362.74</v>
      </c>
      <c r="N49" s="40" t="s">
        <v>6</v>
      </c>
      <c r="O49" s="71">
        <v>152.09</v>
      </c>
      <c r="P49" s="39">
        <f t="shared" si="3"/>
        <v>210.65</v>
      </c>
      <c r="Q49" s="117">
        <f t="shared" si="2"/>
        <v>0</v>
      </c>
      <c r="R49" s="40"/>
      <c r="S49" s="60" t="s">
        <v>197</v>
      </c>
      <c r="T49" s="19" t="s">
        <v>405</v>
      </c>
      <c r="U49" s="19" t="s">
        <v>441</v>
      </c>
      <c r="V49" s="19">
        <v>48</v>
      </c>
    </row>
    <row r="50" spans="1:22" ht="12.75" customHeight="1" x14ac:dyDescent="0.2">
      <c r="A50" s="159" t="s">
        <v>231</v>
      </c>
      <c r="B50" s="162" t="s">
        <v>1076</v>
      </c>
      <c r="C50" s="20" t="s">
        <v>562</v>
      </c>
      <c r="D50" s="66">
        <v>44586</v>
      </c>
      <c r="E50" s="66">
        <v>44616</v>
      </c>
      <c r="F50" s="67">
        <v>600</v>
      </c>
      <c r="G50" s="68"/>
      <c r="H50" s="68"/>
      <c r="I50" s="69"/>
      <c r="J50" s="72">
        <v>600</v>
      </c>
      <c r="K50" s="70">
        <v>44586</v>
      </c>
      <c r="L50" s="69"/>
      <c r="M50" s="102">
        <f t="shared" si="1"/>
        <v>600</v>
      </c>
      <c r="N50" s="40" t="s">
        <v>6</v>
      </c>
      <c r="O50" s="67">
        <v>166.21</v>
      </c>
      <c r="P50" s="39">
        <f t="shared" si="3"/>
        <v>433.78999999999996</v>
      </c>
      <c r="Q50" s="117">
        <f t="shared" si="2"/>
        <v>0</v>
      </c>
      <c r="R50" s="54"/>
      <c r="S50" s="60" t="s">
        <v>197</v>
      </c>
      <c r="T50" s="19" t="s">
        <v>400</v>
      </c>
      <c r="U50" s="19" t="s">
        <v>442</v>
      </c>
      <c r="V50" s="19">
        <v>49</v>
      </c>
    </row>
    <row r="51" spans="1:22" ht="12.75" customHeight="1" x14ac:dyDescent="0.25">
      <c r="A51" s="22" t="s">
        <v>70</v>
      </c>
      <c r="B51" s="16" t="s">
        <v>1077</v>
      </c>
      <c r="C51" s="20" t="s">
        <v>95</v>
      </c>
      <c r="D51" s="66">
        <v>44550</v>
      </c>
      <c r="E51" s="66">
        <v>44611</v>
      </c>
      <c r="F51" s="71">
        <v>461.52</v>
      </c>
      <c r="G51" s="68">
        <v>32.31</v>
      </c>
      <c r="H51" s="68">
        <v>6.4620000000000006</v>
      </c>
      <c r="I51" s="69">
        <v>6</v>
      </c>
      <c r="J51" s="72">
        <v>416.74799999999999</v>
      </c>
      <c r="K51" s="70">
        <v>44572.501388888886</v>
      </c>
      <c r="L51" s="69"/>
      <c r="M51" s="102">
        <f t="shared" si="1"/>
        <v>416.74799999999999</v>
      </c>
      <c r="N51" s="40" t="s">
        <v>6</v>
      </c>
      <c r="O51" s="71">
        <v>166.22</v>
      </c>
      <c r="P51" s="39">
        <f t="shared" si="3"/>
        <v>250.52799999999999</v>
      </c>
      <c r="Q51" s="117">
        <f t="shared" si="2"/>
        <v>0</v>
      </c>
      <c r="R51" s="52"/>
      <c r="S51" s="60" t="s">
        <v>390</v>
      </c>
      <c r="T51" s="19" t="s">
        <v>400</v>
      </c>
      <c r="U51" s="123" t="s">
        <v>443</v>
      </c>
      <c r="V51" s="123">
        <v>53</v>
      </c>
    </row>
    <row r="52" spans="1:22" ht="12.75" customHeight="1" x14ac:dyDescent="0.2">
      <c r="A52" s="22" t="s">
        <v>71</v>
      </c>
      <c r="B52" s="16" t="s">
        <v>1078</v>
      </c>
      <c r="C52" s="20" t="s">
        <v>562</v>
      </c>
      <c r="D52" s="66">
        <v>44567</v>
      </c>
      <c r="E52" s="66">
        <v>44597</v>
      </c>
      <c r="F52" s="67">
        <v>500</v>
      </c>
      <c r="G52" s="68">
        <v>35</v>
      </c>
      <c r="H52" s="68">
        <v>7</v>
      </c>
      <c r="I52" s="69">
        <v>6</v>
      </c>
      <c r="J52" s="72">
        <v>452</v>
      </c>
      <c r="K52" s="70">
        <v>44568.541666666664</v>
      </c>
      <c r="L52" s="69">
        <v>1650</v>
      </c>
      <c r="M52" s="102">
        <f t="shared" si="1"/>
        <v>-1198</v>
      </c>
      <c r="N52" s="40" t="s">
        <v>6</v>
      </c>
      <c r="O52" s="67">
        <v>209.76</v>
      </c>
      <c r="P52" s="39">
        <f t="shared" si="3"/>
        <v>-1407.76</v>
      </c>
      <c r="Q52" s="117">
        <f t="shared" si="2"/>
        <v>0</v>
      </c>
      <c r="R52" s="52"/>
      <c r="S52" s="60" t="s">
        <v>197</v>
      </c>
      <c r="T52" s="19" t="s">
        <v>400</v>
      </c>
      <c r="U52" s="19" t="s">
        <v>444</v>
      </c>
      <c r="V52" s="19">
        <v>54</v>
      </c>
    </row>
    <row r="53" spans="1:22" ht="12.75" customHeight="1" x14ac:dyDescent="0.25">
      <c r="A53" s="22" t="s">
        <v>72</v>
      </c>
      <c r="B53" s="162" t="s">
        <v>1079</v>
      </c>
      <c r="C53" s="20" t="s">
        <v>95</v>
      </c>
      <c r="D53" s="66">
        <v>44549</v>
      </c>
      <c r="E53" s="66">
        <v>44610</v>
      </c>
      <c r="F53" s="71">
        <v>461.52</v>
      </c>
      <c r="G53" s="68">
        <v>27.68</v>
      </c>
      <c r="H53" s="68">
        <v>5.54</v>
      </c>
      <c r="I53" s="69">
        <v>6</v>
      </c>
      <c r="J53" s="72">
        <v>422.3</v>
      </c>
      <c r="K53" s="70">
        <v>44572.501388888886</v>
      </c>
      <c r="L53" s="69"/>
      <c r="M53" s="102">
        <f t="shared" si="1"/>
        <v>422.29999999999995</v>
      </c>
      <c r="N53" s="40" t="s">
        <v>6</v>
      </c>
      <c r="O53" s="71">
        <v>171.99</v>
      </c>
      <c r="P53" s="39">
        <f t="shared" si="3"/>
        <v>250.30999999999995</v>
      </c>
      <c r="Q53" s="117">
        <f t="shared" si="2"/>
        <v>5.6843418860808015E-14</v>
      </c>
      <c r="R53" s="40"/>
      <c r="S53" s="60" t="s">
        <v>390</v>
      </c>
      <c r="T53" s="19" t="s">
        <v>400</v>
      </c>
      <c r="U53" s="122" t="s">
        <v>445</v>
      </c>
      <c r="V53" s="122">
        <v>55</v>
      </c>
    </row>
    <row r="54" spans="1:22" ht="12.75" customHeight="1" x14ac:dyDescent="0.2">
      <c r="A54" s="156"/>
      <c r="B54" s="37"/>
      <c r="C54" s="38"/>
      <c r="D54" s="66"/>
      <c r="E54" s="66"/>
      <c r="F54" s="67"/>
      <c r="G54" s="68"/>
      <c r="H54" s="68"/>
      <c r="I54" s="69"/>
      <c r="J54" s="72"/>
      <c r="K54" s="70"/>
      <c r="L54" s="69"/>
      <c r="M54" s="102" t="str">
        <f t="shared" si="1"/>
        <v/>
      </c>
      <c r="N54" s="40"/>
      <c r="O54" s="67"/>
      <c r="P54" s="39">
        <f t="shared" si="3"/>
        <v>0</v>
      </c>
      <c r="Q54" s="117">
        <f t="shared" si="2"/>
        <v>0</v>
      </c>
      <c r="R54" s="40"/>
      <c r="S54" s="2" t="s">
        <v>393</v>
      </c>
      <c r="T54" s="62"/>
      <c r="U54" s="62"/>
      <c r="V54" s="62">
        <v>61</v>
      </c>
    </row>
    <row r="55" spans="1:22" ht="12.75" customHeight="1" x14ac:dyDescent="0.2">
      <c r="A55" s="165" t="s">
        <v>73</v>
      </c>
      <c r="B55" s="16" t="s">
        <v>1080</v>
      </c>
      <c r="C55" s="20" t="s">
        <v>130</v>
      </c>
      <c r="D55" s="66">
        <v>44563</v>
      </c>
      <c r="E55" s="66">
        <v>44621</v>
      </c>
      <c r="F55" s="67">
        <v>1700</v>
      </c>
      <c r="G55" s="68"/>
      <c r="H55" s="68"/>
      <c r="I55" s="69"/>
      <c r="J55" s="72">
        <v>1700</v>
      </c>
      <c r="K55" s="70">
        <v>44565</v>
      </c>
      <c r="L55" s="69"/>
      <c r="M55" s="102">
        <f t="shared" si="1"/>
        <v>1700</v>
      </c>
      <c r="N55" s="40" t="s">
        <v>6</v>
      </c>
      <c r="O55" s="67">
        <v>202.36</v>
      </c>
      <c r="P55" s="39">
        <f t="shared" si="3"/>
        <v>1497.6399999999999</v>
      </c>
      <c r="Q55" s="117">
        <f t="shared" si="2"/>
        <v>0</v>
      </c>
      <c r="R55" s="50" t="s">
        <v>1111</v>
      </c>
      <c r="S55" s="60" t="s">
        <v>197</v>
      </c>
      <c r="T55" s="19" t="s">
        <v>400</v>
      </c>
      <c r="U55" s="19" t="s">
        <v>446</v>
      </c>
      <c r="V55" s="19">
        <v>66</v>
      </c>
    </row>
    <row r="56" spans="1:22" ht="12.75" customHeight="1" x14ac:dyDescent="0.25">
      <c r="A56" s="159" t="s">
        <v>112</v>
      </c>
      <c r="B56" s="16" t="s">
        <v>1081</v>
      </c>
      <c r="C56" s="20" t="s">
        <v>130</v>
      </c>
      <c r="D56" s="66">
        <v>44576</v>
      </c>
      <c r="E56" s="66">
        <v>44606</v>
      </c>
      <c r="F56" s="71">
        <v>600</v>
      </c>
      <c r="G56" s="68"/>
      <c r="H56" s="68"/>
      <c r="I56" s="69"/>
      <c r="J56" s="72">
        <v>600</v>
      </c>
      <c r="K56" s="70">
        <v>44575</v>
      </c>
      <c r="L56" s="69">
        <v>29.05</v>
      </c>
      <c r="M56" s="102">
        <f t="shared" si="1"/>
        <v>570.95000000000005</v>
      </c>
      <c r="N56" s="40" t="s">
        <v>6</v>
      </c>
      <c r="O56" s="71">
        <v>166.23</v>
      </c>
      <c r="P56" s="39">
        <f t="shared" si="3"/>
        <v>404.72</v>
      </c>
      <c r="Q56" s="117">
        <f t="shared" si="2"/>
        <v>0</v>
      </c>
      <c r="R56" s="50"/>
      <c r="S56" s="60" t="s">
        <v>390</v>
      </c>
      <c r="T56" s="19" t="s">
        <v>400</v>
      </c>
      <c r="U56" s="123" t="s">
        <v>447</v>
      </c>
      <c r="V56" s="123">
        <v>67</v>
      </c>
    </row>
    <row r="57" spans="1:22" ht="12.75" customHeight="1" x14ac:dyDescent="0.2">
      <c r="A57" s="22" t="s">
        <v>115</v>
      </c>
      <c r="B57" s="16" t="s">
        <v>1082</v>
      </c>
      <c r="C57" s="20" t="s">
        <v>95</v>
      </c>
      <c r="D57" s="66">
        <v>44573</v>
      </c>
      <c r="E57" s="66">
        <v>44603</v>
      </c>
      <c r="F57" s="67">
        <v>500</v>
      </c>
      <c r="G57" s="68">
        <v>35</v>
      </c>
      <c r="H57" s="68">
        <v>7</v>
      </c>
      <c r="I57" s="69">
        <v>6</v>
      </c>
      <c r="J57" s="72">
        <v>452</v>
      </c>
      <c r="K57" s="70">
        <v>44573.450694444444</v>
      </c>
      <c r="L57" s="69">
        <v>20.39</v>
      </c>
      <c r="M57" s="102">
        <f t="shared" si="1"/>
        <v>431.61</v>
      </c>
      <c r="N57" s="40" t="s">
        <v>6</v>
      </c>
      <c r="O57" s="67">
        <v>168.95</v>
      </c>
      <c r="P57" s="39">
        <f t="shared" si="3"/>
        <v>262.66000000000003</v>
      </c>
      <c r="Q57" s="117">
        <f t="shared" si="2"/>
        <v>0</v>
      </c>
      <c r="R57" s="40"/>
      <c r="S57" s="60" t="s">
        <v>197</v>
      </c>
      <c r="T57" s="19" t="s">
        <v>406</v>
      </c>
      <c r="U57" s="19" t="s">
        <v>448</v>
      </c>
      <c r="V57" s="19">
        <v>63</v>
      </c>
    </row>
    <row r="58" spans="1:22" ht="15" x14ac:dyDescent="0.25">
      <c r="A58" s="155" t="s">
        <v>117</v>
      </c>
      <c r="B58" s="16" t="s">
        <v>1037</v>
      </c>
      <c r="C58" s="20"/>
      <c r="D58" s="66"/>
      <c r="E58" s="66"/>
      <c r="F58" s="71"/>
      <c r="G58" s="68"/>
      <c r="H58" s="68"/>
      <c r="I58" s="69"/>
      <c r="J58" s="72"/>
      <c r="K58" s="70"/>
      <c r="L58" s="69">
        <v>425.16</v>
      </c>
      <c r="M58" s="102">
        <f t="shared" si="1"/>
        <v>-425.16</v>
      </c>
      <c r="N58" s="40" t="s">
        <v>202</v>
      </c>
      <c r="O58" s="71">
        <v>166.19</v>
      </c>
      <c r="P58" s="39">
        <f t="shared" si="3"/>
        <v>-591.35</v>
      </c>
      <c r="Q58" s="117">
        <f t="shared" si="2"/>
        <v>0</v>
      </c>
      <c r="R58" s="50" t="s">
        <v>1114</v>
      </c>
      <c r="S58" s="60" t="s">
        <v>390</v>
      </c>
      <c r="T58" s="19" t="s">
        <v>400</v>
      </c>
      <c r="U58" s="122" t="s">
        <v>449</v>
      </c>
      <c r="V58" s="122">
        <v>68</v>
      </c>
    </row>
    <row r="59" spans="1:22" ht="12.75" customHeight="1" x14ac:dyDescent="0.2">
      <c r="A59" s="22" t="s">
        <v>74</v>
      </c>
      <c r="B59" s="16" t="s">
        <v>1083</v>
      </c>
      <c r="C59" s="20" t="s">
        <v>562</v>
      </c>
      <c r="D59" s="66">
        <v>44573</v>
      </c>
      <c r="E59" s="66">
        <v>44603</v>
      </c>
      <c r="F59" s="67">
        <v>550</v>
      </c>
      <c r="G59" s="68">
        <v>38.5</v>
      </c>
      <c r="H59" s="68">
        <v>7.7</v>
      </c>
      <c r="I59" s="69">
        <v>6</v>
      </c>
      <c r="J59" s="72">
        <v>497.8</v>
      </c>
      <c r="K59" s="70">
        <v>44574.454861111109</v>
      </c>
      <c r="L59" s="69"/>
      <c r="M59" s="102">
        <f t="shared" si="1"/>
        <v>497.8</v>
      </c>
      <c r="N59" s="40" t="s">
        <v>6</v>
      </c>
      <c r="O59" s="67">
        <v>166.31</v>
      </c>
      <c r="P59" s="39">
        <f t="shared" si="3"/>
        <v>331.49</v>
      </c>
      <c r="Q59" s="117">
        <f t="shared" si="2"/>
        <v>0</v>
      </c>
      <c r="R59" s="40"/>
      <c r="S59" s="60" t="s">
        <v>197</v>
      </c>
      <c r="T59" s="19" t="s">
        <v>400</v>
      </c>
      <c r="U59" s="19" t="s">
        <v>450</v>
      </c>
      <c r="V59" s="19">
        <v>64</v>
      </c>
    </row>
    <row r="60" spans="1:22" ht="12.75" customHeight="1" x14ac:dyDescent="0.25">
      <c r="A60" s="22" t="s">
        <v>118</v>
      </c>
      <c r="B60" s="16" t="s">
        <v>1084</v>
      </c>
      <c r="C60" s="20" t="s">
        <v>95</v>
      </c>
      <c r="D60" s="66">
        <v>44549</v>
      </c>
      <c r="E60" s="66">
        <v>44610</v>
      </c>
      <c r="F60" s="71">
        <v>466.16</v>
      </c>
      <c r="G60" s="68">
        <v>32.630000000000003</v>
      </c>
      <c r="H60" s="68">
        <v>6.53</v>
      </c>
      <c r="I60" s="69">
        <v>6</v>
      </c>
      <c r="J60" s="72">
        <v>421</v>
      </c>
      <c r="K60" s="70">
        <v>44573.450694444444</v>
      </c>
      <c r="L60" s="69"/>
      <c r="M60" s="102">
        <f t="shared" si="1"/>
        <v>421.00000000000006</v>
      </c>
      <c r="N60" s="40" t="s">
        <v>6</v>
      </c>
      <c r="O60" s="71">
        <v>166.19</v>
      </c>
      <c r="P60" s="39">
        <f t="shared" si="3"/>
        <v>254.81000000000006</v>
      </c>
      <c r="Q60" s="117">
        <f t="shared" si="2"/>
        <v>-5.6843418860808015E-14</v>
      </c>
      <c r="R60" s="40"/>
      <c r="S60" s="60" t="s">
        <v>390</v>
      </c>
      <c r="T60" s="19" t="s">
        <v>400</v>
      </c>
      <c r="U60" s="122" t="s">
        <v>451</v>
      </c>
      <c r="V60" s="122">
        <v>71</v>
      </c>
    </row>
    <row r="61" spans="1:22" ht="12.75" customHeight="1" x14ac:dyDescent="0.2">
      <c r="A61" s="159" t="s">
        <v>119</v>
      </c>
      <c r="B61" s="16" t="s">
        <v>1085</v>
      </c>
      <c r="C61" s="33" t="s">
        <v>130</v>
      </c>
      <c r="D61" s="66">
        <v>44583</v>
      </c>
      <c r="E61" s="66">
        <v>44613</v>
      </c>
      <c r="F61" s="67">
        <v>880</v>
      </c>
      <c r="G61" s="68"/>
      <c r="H61" s="68"/>
      <c r="I61" s="69"/>
      <c r="J61" s="72">
        <v>880</v>
      </c>
      <c r="K61" s="70">
        <v>44583</v>
      </c>
      <c r="L61" s="69">
        <v>1201</v>
      </c>
      <c r="M61" s="102">
        <f t="shared" si="1"/>
        <v>-321</v>
      </c>
      <c r="N61" s="40" t="s">
        <v>6</v>
      </c>
      <c r="O61" s="67">
        <v>202.51</v>
      </c>
      <c r="P61" s="39">
        <f t="shared" si="3"/>
        <v>-523.51</v>
      </c>
      <c r="Q61" s="117">
        <f t="shared" si="2"/>
        <v>0</v>
      </c>
      <c r="R61" s="50" t="s">
        <v>1117</v>
      </c>
      <c r="S61" s="60" t="s">
        <v>197</v>
      </c>
      <c r="T61" s="19" t="s">
        <v>400</v>
      </c>
      <c r="U61" s="19" t="s">
        <v>452</v>
      </c>
      <c r="V61" s="19">
        <v>70</v>
      </c>
    </row>
    <row r="62" spans="1:22" ht="12.75" customHeight="1" x14ac:dyDescent="0.25">
      <c r="A62" s="22" t="s">
        <v>75</v>
      </c>
      <c r="B62" s="16" t="s">
        <v>1107</v>
      </c>
      <c r="C62" s="20"/>
      <c r="D62" s="66"/>
      <c r="E62" s="66"/>
      <c r="F62" s="71"/>
      <c r="G62" s="68"/>
      <c r="H62" s="68"/>
      <c r="I62" s="69"/>
      <c r="J62" s="72"/>
      <c r="K62" s="70"/>
      <c r="L62" s="69"/>
      <c r="M62" s="102" t="str">
        <f t="shared" si="1"/>
        <v/>
      </c>
      <c r="N62" s="40" t="s">
        <v>6</v>
      </c>
      <c r="O62" s="71">
        <v>171.99</v>
      </c>
      <c r="P62" s="39">
        <f t="shared" si="3"/>
        <v>-171.99</v>
      </c>
      <c r="Q62" s="117">
        <f t="shared" si="2"/>
        <v>0</v>
      </c>
      <c r="R62" s="50" t="s">
        <v>1112</v>
      </c>
      <c r="S62" s="60" t="s">
        <v>390</v>
      </c>
      <c r="T62" s="19" t="s">
        <v>400</v>
      </c>
      <c r="U62" s="122" t="s">
        <v>453</v>
      </c>
      <c r="V62" s="122">
        <v>65</v>
      </c>
    </row>
    <row r="63" spans="1:22" ht="12.75" customHeight="1" x14ac:dyDescent="0.2">
      <c r="A63" s="23"/>
      <c r="B63" s="21"/>
      <c r="C63" s="13"/>
      <c r="D63" s="73"/>
      <c r="E63" s="73"/>
      <c r="F63" s="74"/>
      <c r="G63" s="75"/>
      <c r="H63" s="75"/>
      <c r="I63" s="76"/>
      <c r="J63" s="80"/>
      <c r="K63" s="78"/>
      <c r="L63" s="76"/>
      <c r="M63" s="103" t="str">
        <f t="shared" si="1"/>
        <v/>
      </c>
      <c r="N63" s="44"/>
      <c r="O63" s="74"/>
      <c r="P63" s="101">
        <f t="shared" si="3"/>
        <v>0</v>
      </c>
      <c r="Q63" s="118">
        <f t="shared" si="2"/>
        <v>0</v>
      </c>
      <c r="R63" s="44"/>
      <c r="S63" s="63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r="65" spans="1:18" ht="15" thickBot="1" x14ac:dyDescent="0.25">
      <c r="B65" s="158"/>
      <c r="C65" s="11"/>
      <c r="E65" s="12" t="s">
        <v>19</v>
      </c>
      <c r="F65" s="35">
        <f>SUM(F9:F63)</f>
        <v>25286.080000000002</v>
      </c>
      <c r="G65" s="35">
        <f>SUM(G9:G63)</f>
        <v>596.76</v>
      </c>
      <c r="H65" s="35">
        <f>SUM(H9:H63)</f>
        <v>119.36200000000001</v>
      </c>
      <c r="I65" s="35">
        <f>SUM(I9:I63)</f>
        <v>102</v>
      </c>
      <c r="J65" s="35">
        <f>SUM(J9:J63)</f>
        <v>24467.958000000002</v>
      </c>
      <c r="K65" s="34"/>
      <c r="L65" s="35">
        <f>SUM(L9:L63)</f>
        <v>5054</v>
      </c>
      <c r="M65" s="35">
        <f>SUM(M9:M63)</f>
        <v>19569.957999999999</v>
      </c>
      <c r="N65" s="34"/>
      <c r="O65" s="35">
        <f>SUM(O9:O63)</f>
        <v>7497.2</v>
      </c>
      <c r="P65" s="35">
        <f>SUM(P9:P63)</f>
        <v>12072.757999999996</v>
      </c>
      <c r="R65" s="34"/>
    </row>
    <row r="66" spans="1:18" ht="13.5" thickTop="1" x14ac:dyDescent="0.2">
      <c r="A66" s="159">
        <v>21</v>
      </c>
      <c r="B66" s="161" t="s">
        <v>567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55">
        <v>1</v>
      </c>
      <c r="B67" s="161" t="s">
        <v>566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62">
        <v>19</v>
      </c>
      <c r="B68" s="161" t="s">
        <v>562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57">
        <v>2</v>
      </c>
      <c r="B69" s="158" t="s">
        <v>766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type="expression" dxfId="19" priority="21" stopIfTrue="1">
      <formula>J12&lt;&gt;(F12-G12-H12-I12)</formula>
    </cfRule>
  </conditionalFormatting>
  <conditionalFormatting sqref="J11">
    <cfRule type="expression" dxfId="18" priority="19" stopIfTrue="1">
      <formula>J11&lt;&gt;(F11-G11-H11-I11)</formula>
    </cfRule>
  </conditionalFormatting>
  <conditionalFormatting sqref="J10">
    <cfRule type="expression" dxfId="17" priority="18" stopIfTrue="1">
      <formula>J10&lt;&gt;(F10-G10-H10-I10)</formula>
    </cfRule>
  </conditionalFormatting>
  <conditionalFormatting sqref="J11:J28 J30:J31 J33:J36 J38:J41 J45 J47 J49:J50 J52 J54:J55 J57 J59 J61 J63">
    <cfRule type="expression" dxfId="16" priority="17" stopIfTrue="1">
      <formula>J11&lt;&gt;(F11-G11-H11-I11)</formula>
    </cfRule>
  </conditionalFormatting>
  <conditionalFormatting sqref="J9">
    <cfRule type="expression" dxfId="15" priority="16" stopIfTrue="1">
      <formula>J9&lt;&gt;(F9-G9-H9-I9)</formula>
    </cfRule>
  </conditionalFormatting>
  <conditionalFormatting sqref="O9">
    <cfRule type="expression" dxfId="14" priority="15">
      <formula>AND($J$9&lt;&gt;"",$O$9="")</formula>
    </cfRule>
  </conditionalFormatting>
  <conditionalFormatting sqref="J29">
    <cfRule type="expression" dxfId="13" priority="14" stopIfTrue="1">
      <formula>J29&lt;&gt;(F29-G29-H29-I29)</formula>
    </cfRule>
  </conditionalFormatting>
  <conditionalFormatting sqref="J32">
    <cfRule type="expression" dxfId="12" priority="13" stopIfTrue="1">
      <formula>J32&lt;&gt;(F32-G32-H32-I32)</formula>
    </cfRule>
  </conditionalFormatting>
  <conditionalFormatting sqref="J37">
    <cfRule type="expression" dxfId="11" priority="12" stopIfTrue="1">
      <formula>J37&lt;&gt;(F37-G37-H37-I37)</formula>
    </cfRule>
  </conditionalFormatting>
  <conditionalFormatting sqref="J42">
    <cfRule type="expression" dxfId="10" priority="11" stopIfTrue="1">
      <formula>J42&lt;&gt;(F42-G42-H42-I42)</formula>
    </cfRule>
  </conditionalFormatting>
  <conditionalFormatting sqref="J43">
    <cfRule type="expression" dxfId="9" priority="10" stopIfTrue="1">
      <formula>J43&lt;&gt;(F43-G43-H43-I43)</formula>
    </cfRule>
  </conditionalFormatting>
  <conditionalFormatting sqref="J44">
    <cfRule type="expression" dxfId="8" priority="9" stopIfTrue="1">
      <formula>J44&lt;&gt;(F44-G44-H44-I44)</formula>
    </cfRule>
  </conditionalFormatting>
  <conditionalFormatting sqref="J46">
    <cfRule type="expression" dxfId="7" priority="8" stopIfTrue="1">
      <formula>J46&lt;&gt;(F46-G46-H46-I46)</formula>
    </cfRule>
  </conditionalFormatting>
  <conditionalFormatting sqref="J48">
    <cfRule type="expression" dxfId="6" priority="7" stopIfTrue="1">
      <formula>J48&lt;&gt;(F48-G48-H48-I48)</formula>
    </cfRule>
  </conditionalFormatting>
  <conditionalFormatting sqref="J51">
    <cfRule type="expression" dxfId="5" priority="6" stopIfTrue="1">
      <formula>J51&lt;&gt;(F51-G51-H51-I51)</formula>
    </cfRule>
  </conditionalFormatting>
  <conditionalFormatting sqref="J53">
    <cfRule type="expression" dxfId="4" priority="5" stopIfTrue="1">
      <formula>J53&lt;&gt;(F53-G53-H53-I53)</formula>
    </cfRule>
  </conditionalFormatting>
  <conditionalFormatting sqref="J56">
    <cfRule type="expression" dxfId="3" priority="4" stopIfTrue="1">
      <formula>J56&lt;&gt;(F56-G56-H56-I56)</formula>
    </cfRule>
  </conditionalFormatting>
  <conditionalFormatting sqref="J58">
    <cfRule type="expression" dxfId="2" priority="3" stopIfTrue="1">
      <formula>J58&lt;&gt;(F58-G58-H58-I58)</formula>
    </cfRule>
  </conditionalFormatting>
  <conditionalFormatting sqref="J60">
    <cfRule type="expression" dxfId="1" priority="2" stopIfTrue="1">
      <formula>J60&lt;&gt;(F60-G60-H60-I60)</formula>
    </cfRule>
  </conditionalFormatting>
  <conditionalFormatting sqref="J62">
    <cfRule type="expression" dxfId="0" priority="1" stopIfTrue="1">
      <formula>J62&lt;&gt;(F62-G62-H62-I62)</formula>
    </cfRule>
  </conditionalFormatting>
  <dataValidations xWindow="150" yWindow="804" count="7">
    <dataValidation type="list" allowBlank="1" showInputMessage="1" showErrorMessage="1" sqref="A9:A63" xr:uid="{FB9F0C27-9E8B-48BF-AFE0-BF35A61E718A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E39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CE670818-360D-4DCC-A3E4-69713AECE8CE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zoomScale="85" zoomScaleNormal="85" workbookViewId="0">
      <selection activeCell="B20" sqref="B2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84" t="s">
        <v>514</v>
      </c>
      <c r="B1" s="84"/>
    </row>
    <row r="2" spans="1:9" ht="15" x14ac:dyDescent="0.25">
      <c r="A2" s="84"/>
      <c r="B2" s="84"/>
    </row>
    <row r="3" spans="1:9" x14ac:dyDescent="0.2">
      <c r="E3" t="s">
        <v>394</v>
      </c>
      <c r="H3" t="s">
        <v>395</v>
      </c>
    </row>
    <row r="4" spans="1:9" x14ac:dyDescent="0.2">
      <c r="A4" s="42" t="s">
        <v>218</v>
      </c>
      <c r="B4" s="58" t="s">
        <v>217</v>
      </c>
      <c r="C4" s="58" t="s">
        <v>216</v>
      </c>
      <c r="D4" s="59"/>
      <c r="E4" s="58" t="s">
        <v>217</v>
      </c>
      <c r="F4" s="58" t="s">
        <v>216</v>
      </c>
      <c r="G4" s="59"/>
      <c r="H4" s="58" t="s">
        <v>217</v>
      </c>
      <c r="I4" s="58" t="s">
        <v>216</v>
      </c>
    </row>
    <row r="5" spans="1:9" x14ac:dyDescent="0.2">
      <c r="A5" t="s">
        <v>215</v>
      </c>
      <c r="B5" s="34">
        <f>SUM('Rent Statement'!F9:F63)</f>
        <v>25286.080000000002</v>
      </c>
      <c r="E5" s="34">
        <f>SUMIF('Rent Statement'!S9:S63,"=Mathew Tucker", 'Rent Statement'!F9:F63)</f>
        <v>15744.560000000001</v>
      </c>
      <c r="H5" s="34">
        <f>SUMIF('Rent Statement'!S9:S63,"Ivana Valentino", 'Rent Statement'!F9:F63)</f>
        <v>9541.52</v>
      </c>
    </row>
    <row r="6" spans="1:9" x14ac:dyDescent="0.2">
      <c r="A6" t="s">
        <v>214</v>
      </c>
      <c r="C6" s="45">
        <f>-SUM('Rent Statement'!O9:O63)</f>
        <v>-7497.2</v>
      </c>
      <c r="F6" s="45">
        <f>-SUMIF('Rent Statement'!S9:S63,"Mathew Tucker",'Rent Statement'!O9:O63)</f>
        <v>-4062.7299999999996</v>
      </c>
      <c r="I6" s="45">
        <f>-SUMIF('Rent Statement'!S9:S63,"Ivana Valentino",'Rent Statement'!O9:O63)</f>
        <v>-3434.4700000000003</v>
      </c>
    </row>
    <row r="7" spans="1:9" x14ac:dyDescent="0.2">
      <c r="A7" t="s">
        <v>213</v>
      </c>
      <c r="C7" s="45">
        <f>-SUM('Rent Statement'!G9:G63)</f>
        <v>-596.76</v>
      </c>
      <c r="F7" s="45">
        <f>-SUMIF('Rent Statement'!S9:S63,"Mathew Tucker",'Rent Statement'!G9:G63)</f>
        <v>-400.71999999999997</v>
      </c>
      <c r="I7" s="45">
        <f>-SUMIF('Rent Statement'!S9:S63,"Ivana Valentino",'Rent Statement'!G9:G63)</f>
        <v>-196.04000000000002</v>
      </c>
    </row>
    <row r="8" spans="1:9" x14ac:dyDescent="0.2">
      <c r="A8" t="s">
        <v>212</v>
      </c>
      <c r="C8" s="45">
        <f>-SUM('Rent Statement'!H9:H63)</f>
        <v>-119.36200000000001</v>
      </c>
      <c r="F8" s="45">
        <f>-SUMIF('Rent Statement'!S9:S63,"Mathew Tucker",'Rent Statement'!H9:H63)</f>
        <v>-80.150000000000006</v>
      </c>
      <c r="I8" s="45">
        <f>-SUMIF('Rent Statement'!S9:S63,"Ivana Valentino",'Rent Statement'!H9:H63)</f>
        <v>-39.212000000000003</v>
      </c>
    </row>
    <row r="9" spans="1:9" x14ac:dyDescent="0.2">
      <c r="A9" t="s">
        <v>211</v>
      </c>
      <c r="C9" s="45">
        <f>-SUM('Rent Statement'!I9:I63)-SUM('Rent Statement'!L9:L63)</f>
        <v>-5156</v>
      </c>
      <c r="F9" s="45">
        <f>-SUMIF('Rent Statement'!S9:S63,"Mathew Tucker",'Rent Statement'!I9:I63)-SUMIF('Rent Statement'!S9:S63,"Mathew Tucker",'Rent Statement'!L9:L63)</f>
        <v>-4539.79</v>
      </c>
      <c r="I9" s="45">
        <f>-SUMIF('Rent Statement'!S9:S63,"Ivana Valentino",'Rent Statement'!I9:I63)-SUMIF('Rent Statement'!S9:S63,"Ivana Valentino",'Rent Statement'!L9:L63)</f>
        <v>-616.21</v>
      </c>
    </row>
    <row r="10" spans="1:9" x14ac:dyDescent="0.2">
      <c r="A10" s="46" t="s">
        <v>396</v>
      </c>
      <c r="C10" s="45"/>
      <c r="F10" s="45">
        <f>-((SUMIF('Rent Statement'!S9:S63,"Mathew Tucker/Ivana Valentino",'Rent Statement'!I9:I63)/3)*2)-(SUMIF('Rent Statement'!S9:S63,"Lordswood Estates",'Rent Statement'!I9:I63)/2)</f>
        <v>0</v>
      </c>
      <c r="I10" s="4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r="12" spans="1:9" ht="13.5" thickBot="1" x14ac:dyDescent="0.25">
      <c r="A12" t="s">
        <v>210</v>
      </c>
      <c r="B12" s="35">
        <f>B5+SUM(C6:C9)</f>
        <v>11916.758000000002</v>
      </c>
      <c r="D12" s="43"/>
      <c r="E12" s="108">
        <f>E5+SUM(F6:F10)</f>
        <v>6661.1700000000019</v>
      </c>
      <c r="H12" s="108">
        <f>H5+SUM(I6:I10)</f>
        <v>5255.5879999999997</v>
      </c>
    </row>
    <row r="13" spans="1:9" ht="15.75" thickTop="1" x14ac:dyDescent="0.25">
      <c r="A13" s="85"/>
      <c r="B13" s="85"/>
      <c r="C13" s="81"/>
      <c r="F13" s="81"/>
    </row>
    <row r="14" spans="1:9" ht="30" x14ac:dyDescent="0.25">
      <c r="A14" s="85"/>
      <c r="B14" s="86" t="s">
        <v>515</v>
      </c>
      <c r="C14" s="86" t="s">
        <v>516</v>
      </c>
      <c r="D14" s="87" t="s">
        <v>546</v>
      </c>
      <c r="E14" s="120" t="s">
        <v>515</v>
      </c>
      <c r="F14" s="88" t="s">
        <v>516</v>
      </c>
    </row>
    <row r="15" spans="1:9" ht="15" x14ac:dyDescent="0.25">
      <c r="A15" s="85" t="s">
        <v>517</v>
      </c>
      <c r="B15" s="82">
        <f>E12</f>
        <v>6661.1700000000019</v>
      </c>
      <c r="C15" s="82">
        <f>H12</f>
        <v>5255.5879999999997</v>
      </c>
      <c r="D15" s="89"/>
      <c r="E15" s="152">
        <v>0.5</v>
      </c>
      <c r="F15" s="153">
        <v>0.5</v>
      </c>
    </row>
    <row r="16" spans="1:9" ht="15" x14ac:dyDescent="0.25">
      <c r="A16" s="85"/>
      <c r="B16" s="90"/>
      <c r="C16" s="90"/>
      <c r="D16" s="91"/>
      <c r="E16" s="92"/>
      <c r="F16" s="93"/>
    </row>
    <row r="17" spans="1:17" x14ac:dyDescent="0.2">
      <c r="A17" t="s">
        <v>512</v>
      </c>
      <c r="B17" s="82" t="e">
        <f ca="1">EVAL("SUM(SUMIFS(MT_Amount, MT_BankRef," &amp;$H17&amp; "))")</f>
        <v>#NAME?</v>
      </c>
      <c r="C17" s="82" t="e">
        <f ca="1">EVAL("SUM(SUMIFS(IV_Amount, IV_BankRef," &amp;$H17&amp; "))")</f>
        <v>#NAME?</v>
      </c>
      <c r="D17" s="94"/>
      <c r="E17" s="95"/>
      <c r="F17" s="96"/>
      <c r="G17" s="46"/>
      <c r="H17" s="46" t="s">
        <v>558</v>
      </c>
    </row>
    <row r="18" spans="1:17" x14ac:dyDescent="0.2">
      <c r="A18" t="s">
        <v>25</v>
      </c>
      <c r="B18" s="82" t="e">
        <f ca="1">EVAL("SUM(SUMIFS(MT_Amount, MT_BankRef," &amp;$H18&amp; "))")</f>
        <v>#NAME?</v>
      </c>
      <c r="C18" s="82" t="e">
        <f ca="1">EVAL("SUM(SUMIFS(IV_Amount, IV_BankRef," &amp;$H18&amp; "))")</f>
        <v>#NAME?</v>
      </c>
      <c r="D18" s="94"/>
      <c r="E18" s="95"/>
      <c r="F18" s="96"/>
      <c r="H18" s="46" t="s">
        <v>513</v>
      </c>
    </row>
    <row r="19" spans="1:17" x14ac:dyDescent="0.2">
      <c r="B19" s="83" t="e">
        <f ca="1">SUM(B17:B18)</f>
        <v>#NAME?</v>
      </c>
      <c r="C19" s="83" t="e">
        <f ca="1">SUM(C17:C18)</f>
        <v>#NAME?</v>
      </c>
      <c r="D19" s="94"/>
      <c r="E19" s="95"/>
      <c r="F19" s="96"/>
    </row>
    <row r="20" spans="1:17" ht="15" x14ac:dyDescent="0.25">
      <c r="A20" s="85"/>
      <c r="B20" s="82"/>
      <c r="C20" s="82"/>
      <c r="D20" s="94"/>
      <c r="E20" s="95"/>
      <c r="F20" s="96"/>
      <c r="H20" s="85"/>
    </row>
    <row r="21" spans="1:17" x14ac:dyDescent="0.2">
      <c r="A21" t="s">
        <v>518</v>
      </c>
      <c r="B21" s="82" t="e">
        <f ca="1">EVAL("SUM(SUMIFS(MT_Amount, MT_BankRef," &amp;$H21&amp; "))")</f>
        <v>#NAME?</v>
      </c>
      <c r="C21" s="82" t="e">
        <f ca="1">EVAL("SUM(SUMIFS(IV_Amount, IV_BankRef," &amp;$H21&amp; "))")</f>
        <v>#NAME?</v>
      </c>
      <c r="D21" s="94"/>
      <c r="E21" s="95"/>
      <c r="F21" s="96"/>
      <c r="H21" t="s">
        <v>519</v>
      </c>
    </row>
    <row r="22" spans="1:17" x14ac:dyDescent="0.2">
      <c r="A22" s="81" t="s">
        <v>520</v>
      </c>
      <c r="B22" s="82" t="e">
        <f ca="1">EVAL("SUM(SUMIFS(MT_Amount, MT_BankRef," &amp;$H22&amp; "))")</f>
        <v>#NAME?</v>
      </c>
      <c r="C22" s="82" t="e">
        <f ca="1">EVAL("SUM(SUMIFS(IV_Amount, IV_BankRef," &amp;$H22&amp; "))")</f>
        <v>#NAME?</v>
      </c>
      <c r="D22" s="94"/>
      <c r="E22" s="95"/>
      <c r="F22" s="96"/>
      <c r="H22" s="81" t="s">
        <v>521</v>
      </c>
    </row>
    <row r="23" spans="1:17" x14ac:dyDescent="0.2">
      <c r="A23" s="81"/>
      <c r="B23" s="82"/>
      <c r="C23" s="82"/>
      <c r="D23" s="94"/>
      <c r="E23" s="95"/>
      <c r="F23" s="96"/>
      <c r="H23" s="81"/>
    </row>
    <row r="24" spans="1:17" x14ac:dyDescent="0.2">
      <c r="A24" s="81" t="s">
        <v>526</v>
      </c>
      <c r="B24" s="82" t="e">
        <f ca="1">EVAL("SUM(SUMIFS(MT_Amount, MT_BankRef," &amp;$H24&amp; "))")</f>
        <v>#NAME?</v>
      </c>
      <c r="C24" s="82" t="e">
        <f ca="1">EVAL("SUM(SUMIFS(IV_Amount, IV_BankRef," &amp;$H24&amp; "))")</f>
        <v>#NAME?</v>
      </c>
      <c r="D24" s="94"/>
      <c r="E24" s="95">
        <f t="shared" ref="E24:F26" si="0">IFERROR(($D24)*E$15,"")</f>
        <v>0</v>
      </c>
      <c r="F24" s="96">
        <f t="shared" si="0"/>
        <v>0</v>
      </c>
      <c r="H24" s="81" t="s">
        <v>527</v>
      </c>
    </row>
    <row r="25" spans="1:17" x14ac:dyDescent="0.2">
      <c r="A25" s="81" t="s">
        <v>533</v>
      </c>
      <c r="B25" s="82" t="e">
        <f ca="1">EVAL("SUM(SUMIFS(MT_Amount, MT_BankRef," &amp;$H25&amp; "))")</f>
        <v>#NAME?</v>
      </c>
      <c r="C25" s="82" t="e">
        <f ca="1">EVAL("SUM(SUMIFS(IV_Amount, IV_BankRef," &amp;$H25&amp; "))")</f>
        <v>#NAME?</v>
      </c>
      <c r="D25" s="94"/>
      <c r="E25" s="95">
        <f t="shared" si="0"/>
        <v>0</v>
      </c>
      <c r="F25" s="96">
        <f t="shared" si="0"/>
        <v>0</v>
      </c>
      <c r="H25" s="81" t="s">
        <v>534</v>
      </c>
    </row>
    <row r="26" spans="1:17" x14ac:dyDescent="0.2">
      <c r="A26" s="81" t="s">
        <v>535</v>
      </c>
      <c r="B26" s="82" t="e">
        <f ca="1">EVAL("SUM(SUMIFS(MT_Amount, MT_BankRef," &amp;$H26&amp; "))")</f>
        <v>#NAME?</v>
      </c>
      <c r="C26" s="82" t="e">
        <f ca="1">EVAL("SUM(SUMIFS(IV_Amount, IV_BankRef," &amp;$H26&amp; "))")</f>
        <v>#NAME?</v>
      </c>
      <c r="D26" s="94"/>
      <c r="E26" s="95">
        <f t="shared" si="0"/>
        <v>0</v>
      </c>
      <c r="F26" s="96">
        <f t="shared" si="0"/>
        <v>0</v>
      </c>
      <c r="H26" s="81" t="s">
        <v>536</v>
      </c>
    </row>
    <row r="27" spans="1:17" x14ac:dyDescent="0.2">
      <c r="A27" s="81"/>
      <c r="B27" s="82"/>
      <c r="C27" s="82"/>
      <c r="D27" s="94"/>
      <c r="E27" s="95"/>
      <c r="F27" s="96"/>
      <c r="H27" s="81"/>
    </row>
    <row r="28" spans="1:17" x14ac:dyDescent="0.2">
      <c r="A28" s="106" t="s">
        <v>549</v>
      </c>
      <c r="B28" s="82"/>
      <c r="C28" s="82"/>
      <c r="D28" s="94"/>
      <c r="E28" s="95"/>
      <c r="F28" s="96"/>
      <c r="H28" s="81"/>
    </row>
    <row r="29" spans="1:17" x14ac:dyDescent="0.2">
      <c r="A29" t="s">
        <v>522</v>
      </c>
      <c r="B29" s="109" t="e">
        <f ca="1">EVAL("SUM(SUMIFS(MT_Amount, MT_BankRef," &amp;$H29&amp; "))")</f>
        <v>#NAME?</v>
      </c>
      <c r="C29" s="83" t="e">
        <f ca="1">EVAL("SUM(SUMIFS(IV_Amount, IV_BankRef," &amp;$H29&amp; "))")</f>
        <v>#NAME?</v>
      </c>
      <c r="D29" s="110" t="e">
        <f t="shared" ref="D29:D35" ca="1" si="1">B29+C29</f>
        <v>#NAME?</v>
      </c>
      <c r="E29" s="111" t="str">
        <f ca="1">IFERROR(($D29)*E$15,"")</f>
        <v/>
      </c>
      <c r="F29" s="112" t="str">
        <f ca="1">IFERROR(($D29)*F$15,"")</f>
        <v/>
      </c>
      <c r="H29" t="s">
        <v>523</v>
      </c>
      <c r="J29" s="46"/>
      <c r="Q29" s="46"/>
    </row>
    <row r="30" spans="1:17" x14ac:dyDescent="0.2">
      <c r="A30" s="81" t="s">
        <v>524</v>
      </c>
      <c r="B30" s="113" t="e">
        <f ca="1">EVAL("SUM(SUMIFS(MT_Amount, MT_BankRef," &amp;$H30&amp; "))")</f>
        <v>#NAME?</v>
      </c>
      <c r="C30" s="82" t="e">
        <f ca="1">EVAL("SUM(SUMIFS(IV_Amount, IV_BankRef," &amp;$H30&amp; "))")</f>
        <v>#NAME?</v>
      </c>
      <c r="D30" s="94" t="e">
        <f t="shared" ca="1" si="1"/>
        <v>#NAME?</v>
      </c>
      <c r="E30" s="95" t="str">
        <f t="shared" ref="E30:F35" ca="1" si="2">IFERROR(($D30)*E$15,"")</f>
        <v/>
      </c>
      <c r="F30" s="96" t="str">
        <f t="shared" ca="1" si="2"/>
        <v/>
      </c>
      <c r="H30" s="81" t="s">
        <v>525</v>
      </c>
      <c r="Q30" s="46"/>
    </row>
    <row r="31" spans="1:17" x14ac:dyDescent="0.2">
      <c r="A31" s="81" t="s">
        <v>528</v>
      </c>
      <c r="B31" s="113" t="e">
        <f ca="1">EVAL("SUM(SUMIFS(MT_Amount, MT_BankRef," &amp;$H31&amp; "))")</f>
        <v>#NAME?</v>
      </c>
      <c r="C31" s="82" t="e">
        <f ca="1">EVAL("SUM(SUMIFS(IV_Amount, IV_BankRef," &amp;$H31&amp; "))")</f>
        <v>#NAME?</v>
      </c>
      <c r="D31" s="94" t="e">
        <f t="shared" ca="1" si="1"/>
        <v>#NAME?</v>
      </c>
      <c r="E31" s="95" t="str">
        <f t="shared" ca="1" si="2"/>
        <v/>
      </c>
      <c r="F31" s="96" t="str">
        <f t="shared" ca="1" si="2"/>
        <v/>
      </c>
      <c r="H31" t="s">
        <v>529</v>
      </c>
    </row>
    <row r="32" spans="1:17" x14ac:dyDescent="0.2">
      <c r="A32" s="81" t="s">
        <v>530</v>
      </c>
      <c r="B32" s="113" t="e">
        <f ca="1">EVAL("SUM(SUMIFS(MT_Amount, MT_BankRef," &amp;$H32&amp; "))")</f>
        <v>#NAME?</v>
      </c>
      <c r="C32" s="82" t="e">
        <f ca="1">EVAL("SUM(SUMIFS(IV_Amount, IV_BankRef," &amp;$H32&amp; "))")</f>
        <v>#NAME?</v>
      </c>
      <c r="D32" s="94" t="e">
        <f t="shared" ca="1" si="1"/>
        <v>#NAME?</v>
      </c>
      <c r="E32" s="95" t="str">
        <f t="shared" ca="1" si="2"/>
        <v/>
      </c>
      <c r="F32" s="96" t="str">
        <f t="shared" ca="1" si="2"/>
        <v/>
      </c>
      <c r="H32" t="s">
        <v>531</v>
      </c>
    </row>
    <row r="33" spans="1:8" ht="15" x14ac:dyDescent="0.25">
      <c r="A33" s="81" t="s">
        <v>532</v>
      </c>
      <c r="B33" s="119">
        <f>SUMIFS(MT_Amount, MT_Include,"I")</f>
        <v>0</v>
      </c>
      <c r="C33" s="82" t="e">
        <f ca="1">EVAL("SUM(SUMIFS(IV_Amount, IV_BankRef," &amp;$H33&amp; "))")-SUMIFS(IV_Amount_4040, IV_BankRef_4040,"=X")</f>
        <v>#NAME?</v>
      </c>
      <c r="D33" s="94" t="e">
        <f t="shared" ca="1" si="1"/>
        <v>#NAME?</v>
      </c>
      <c r="E33" s="95" t="str">
        <f t="shared" ca="1" si="2"/>
        <v/>
      </c>
      <c r="F33" s="96" t="str">
        <f t="shared" ca="1" si="2"/>
        <v/>
      </c>
      <c r="H33" s="46" t="s">
        <v>557</v>
      </c>
    </row>
    <row r="34" spans="1:8" x14ac:dyDescent="0.2">
      <c r="A34" s="81" t="s">
        <v>25</v>
      </c>
      <c r="B34" s="113" t="e">
        <f ca="1">EVAL("SUM(SUMIFS(MT_Amount, MT_BankRef," &amp;$H34&amp; "))")</f>
        <v>#NAME?</v>
      </c>
      <c r="C34" s="82" t="e">
        <f ca="1">EVAL("SUM(SUMIFS(IV_Amount, IV_BankRef," &amp;$H34&amp; "))")</f>
        <v>#NAME?</v>
      </c>
      <c r="D34" s="94" t="e">
        <f t="shared" ca="1" si="1"/>
        <v>#NAME?</v>
      </c>
      <c r="E34" s="95" t="str">
        <f t="shared" ca="1" si="2"/>
        <v/>
      </c>
      <c r="F34" s="96" t="str">
        <f t="shared" ca="1" si="2"/>
        <v/>
      </c>
      <c r="H34" s="81" t="s">
        <v>537</v>
      </c>
    </row>
    <row r="35" spans="1:8" x14ac:dyDescent="0.2">
      <c r="A35" s="105" t="s">
        <v>556</v>
      </c>
      <c r="B35" s="114">
        <v>0</v>
      </c>
      <c r="C35" s="115">
        <v>0</v>
      </c>
      <c r="D35" s="94">
        <f t="shared" si="1"/>
        <v>0</v>
      </c>
      <c r="E35" s="95">
        <f t="shared" si="2"/>
        <v>0</v>
      </c>
      <c r="F35" s="96">
        <f t="shared" si="2"/>
        <v>0</v>
      </c>
      <c r="H35" s="105"/>
    </row>
    <row r="36" spans="1:8" x14ac:dyDescent="0.2">
      <c r="B36" s="97" t="e">
        <f ca="1">SUBTOTAL(9,B29:B35)</f>
        <v>#NAME?</v>
      </c>
      <c r="C36" s="97" t="e">
        <f ca="1">SUBTOTAL(9,C29:C35)</f>
        <v>#NAME?</v>
      </c>
      <c r="D36" s="98" t="e">
        <f ca="1">SUBTOTAL(9,D20:D35)</f>
        <v>#NAME?</v>
      </c>
      <c r="E36" s="99">
        <f ca="1">SUBTOTAL(9,E29:E35)</f>
        <v>0</v>
      </c>
      <c r="F36" s="97">
        <f ca="1">SUBTOTAL(9,F29:F35)</f>
        <v>0</v>
      </c>
    </row>
    <row r="37" spans="1:8" x14ac:dyDescent="0.2">
      <c r="B37" s="82"/>
      <c r="C37" s="82"/>
      <c r="D37" s="82"/>
      <c r="E37" s="95"/>
      <c r="F37" s="82"/>
    </row>
    <row r="38" spans="1:8" x14ac:dyDescent="0.2">
      <c r="A38" s="81" t="s">
        <v>547</v>
      </c>
      <c r="E38" s="82" t="e">
        <f ca="1">SUM(B29:B35)</f>
        <v>#NAME?</v>
      </c>
      <c r="F38" s="82" t="e">
        <f ca="1">SUM(C29:C35)</f>
        <v>#NAME?</v>
      </c>
    </row>
    <row r="39" spans="1:8" x14ac:dyDescent="0.2">
      <c r="A39" s="105" t="s">
        <v>548</v>
      </c>
      <c r="E39" s="95" t="e">
        <f ca="1">EVAL("SUM(SUMIFS(MT_Amount, MT_BankRef," &amp;$H39&amp; "))")</f>
        <v>#NAME?</v>
      </c>
      <c r="F39" s="82" t="e">
        <f ca="1">-E39</f>
        <v>#NAME?</v>
      </c>
      <c r="H39" t="s">
        <v>538</v>
      </c>
    </row>
    <row r="40" spans="1:8" x14ac:dyDescent="0.2">
      <c r="E40" s="100"/>
      <c r="F40" s="82"/>
    </row>
    <row r="41" spans="1:8" x14ac:dyDescent="0.2">
      <c r="A41" t="s">
        <v>539</v>
      </c>
      <c r="E41" s="99" t="e">
        <f ca="1">E36-E38-E39</f>
        <v>#NAME?</v>
      </c>
      <c r="F41" s="99" t="e">
        <f ca="1">F36-F38-F39</f>
        <v>#NAME?</v>
      </c>
    </row>
    <row r="42" spans="1:8" x14ac:dyDescent="0.2">
      <c r="A42" s="107" t="s">
        <v>550</v>
      </c>
    </row>
    <row r="43" spans="1:8" x14ac:dyDescent="0.2">
      <c r="A43" s="107"/>
      <c r="E43" s="82"/>
    </row>
    <row r="44" spans="1:8" x14ac:dyDescent="0.2">
      <c r="A44" s="105"/>
      <c r="E44" s="82"/>
    </row>
    <row r="45" spans="1:8" x14ac:dyDescent="0.2">
      <c r="A45" s="105" t="s">
        <v>565</v>
      </c>
      <c r="E45" s="82">
        <v>2264.66</v>
      </c>
    </row>
    <row r="46" spans="1:8" x14ac:dyDescent="0.2">
      <c r="A46" s="46"/>
    </row>
    <row r="47" spans="1:8" x14ac:dyDescent="0.2">
      <c r="A47" s="46"/>
    </row>
    <row r="48" spans="1:8" x14ac:dyDescent="0.2">
      <c r="A48" s="107"/>
      <c r="E48" s="97" t="e">
        <f ca="1">E41+SUM(E44:E47)</f>
        <v>#NAME?</v>
      </c>
      <c r="F48" s="46"/>
    </row>
    <row r="50" spans="1:7" x14ac:dyDescent="0.2">
      <c r="A50" s="42" t="s">
        <v>540</v>
      </c>
      <c r="D50" s="46"/>
    </row>
    <row r="51" spans="1:7" x14ac:dyDescent="0.2">
      <c r="A51" s="42"/>
      <c r="D51" s="46"/>
    </row>
    <row r="52" spans="1:7" x14ac:dyDescent="0.2">
      <c r="A52" s="46"/>
      <c r="D52" s="46"/>
      <c r="G52" s="46"/>
    </row>
    <row r="53" spans="1:7" x14ac:dyDescent="0.2">
      <c r="A53" s="46"/>
      <c r="D53" s="107"/>
    </row>
    <row r="54" spans="1:7" x14ac:dyDescent="0.2">
      <c r="D54" s="107"/>
      <c r="F54" s="46"/>
    </row>
    <row r="55" spans="1:7" x14ac:dyDescent="0.2">
      <c r="D55" s="107"/>
      <c r="E55" s="125"/>
    </row>
  </sheetData>
  <pageMargins left="0.7" right="0.7" top="0.75" bottom="0.75" header="0.3" footer="0.3"/>
  <pageSetup paperSize="9" orientation="portrait" horizontalDpi="4294967293" verticalDpi="0" r:id="rId1"/>
  <ignoredErrors>
    <ignoredError sqref="B9 C5 B6 B7 B8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zoomScale="70" zoomScaleNormal="70" workbookViewId="0">
      <selection sqref="A1:F118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9" x14ac:dyDescent="0.2">
      <c r="A1" s="104"/>
    </row>
    <row r="2" spans="1:9" x14ac:dyDescent="0.2">
      <c r="A2" s="42"/>
      <c r="B2" s="58"/>
      <c r="C2" s="58"/>
      <c r="D2" s="59"/>
      <c r="E2" s="58"/>
      <c r="F2" s="58"/>
      <c r="G2" s="59"/>
      <c r="H2" s="58"/>
      <c r="I2" s="58"/>
    </row>
    <row r="3" spans="1:9" ht="15" x14ac:dyDescent="0.25">
      <c r="A3" s="179" t="s">
        <v>1086</v>
      </c>
    </row>
    <row r="4" spans="1:9" x14ac:dyDescent="0.2">
      <c r="A4" t="s">
        <v>1087</v>
      </c>
      <c r="B4">
        <v>25</v>
      </c>
    </row>
    <row r="5" spans="1:9" x14ac:dyDescent="0.2">
      <c r="A5" t="s">
        <v>1088</v>
      </c>
      <c r="B5">
        <v>29</v>
      </c>
    </row>
    <row r="6" spans="1:9" x14ac:dyDescent="0.2">
      <c r="A6" t="s">
        <v>1089</v>
      </c>
      <c r="B6">
        <v>29</v>
      </c>
    </row>
    <row r="7" spans="1:9" x14ac:dyDescent="0.2">
      <c r="A7" t="s">
        <v>1090</v>
      </c>
      <c r="B7">
        <v>27</v>
      </c>
    </row>
    <row r="8" spans="1:9" x14ac:dyDescent="0.2">
      <c r="A8" t="s">
        <v>1091</v>
      </c>
      <c r="B8">
        <v>18</v>
      </c>
    </row>
    <row r="9" spans="1:9" x14ac:dyDescent="0.2">
      <c r="A9" t="s">
        <v>1092</v>
      </c>
      <c r="B9">
        <v>25</v>
      </c>
    </row>
    <row r="11" spans="1:9" ht="15" x14ac:dyDescent="0.25">
      <c r="A11" s="179" t="s">
        <v>24</v>
      </c>
      <c r="B11" s="179" t="s">
        <v>507</v>
      </c>
      <c r="C11" s="179" t="s">
        <v>509</v>
      </c>
      <c r="D11" s="179" t="s">
        <v>542</v>
      </c>
      <c r="E11" s="179" t="s">
        <v>1093</v>
      </c>
      <c r="F11" s="179" t="s">
        <v>1094</v>
      </c>
    </row>
    <row r="12" spans="1:9" x14ac:dyDescent="0.2">
      <c r="A12" t="s">
        <v>70</v>
      </c>
      <c r="B12" s="180">
        <v>44558.025000000001</v>
      </c>
      <c r="C12">
        <v>-6</v>
      </c>
      <c r="D12" t="s">
        <v>622</v>
      </c>
      <c r="E12">
        <v>244073</v>
      </c>
      <c r="F12" t="s">
        <v>1095</v>
      </c>
    </row>
    <row r="13" spans="1:9" x14ac:dyDescent="0.2">
      <c r="A13" t="s">
        <v>71</v>
      </c>
      <c r="B13" s="180">
        <v>44558.025000000001</v>
      </c>
      <c r="C13">
        <v>-6</v>
      </c>
      <c r="D13" t="s">
        <v>623</v>
      </c>
      <c r="E13">
        <v>243990</v>
      </c>
      <c r="F13" t="s">
        <v>1095</v>
      </c>
    </row>
    <row r="14" spans="1:9" x14ac:dyDescent="0.2">
      <c r="A14" t="s">
        <v>115</v>
      </c>
      <c r="B14" s="180">
        <v>44558.025000000001</v>
      </c>
      <c r="C14">
        <v>-6</v>
      </c>
      <c r="D14" t="s">
        <v>624</v>
      </c>
      <c r="E14">
        <v>243995</v>
      </c>
      <c r="F14" t="s">
        <v>1095</v>
      </c>
    </row>
    <row r="15" spans="1:9" x14ac:dyDescent="0.2">
      <c r="A15" t="s">
        <v>74</v>
      </c>
      <c r="B15" s="180">
        <v>44558.025000000001</v>
      </c>
      <c r="C15">
        <v>-6</v>
      </c>
      <c r="D15" t="s">
        <v>625</v>
      </c>
      <c r="E15">
        <v>243999</v>
      </c>
      <c r="F15" t="s">
        <v>1095</v>
      </c>
    </row>
    <row r="16" spans="1:9" x14ac:dyDescent="0.2">
      <c r="A16" t="s">
        <v>187</v>
      </c>
      <c r="B16" s="180">
        <v>44558.025000000001</v>
      </c>
      <c r="C16">
        <v>-6</v>
      </c>
      <c r="D16" t="s">
        <v>619</v>
      </c>
      <c r="E16">
        <v>244010</v>
      </c>
      <c r="F16" t="s">
        <v>1095</v>
      </c>
    </row>
    <row r="17" spans="1:6" x14ac:dyDescent="0.2">
      <c r="A17" t="s">
        <v>59</v>
      </c>
      <c r="B17" s="180">
        <v>44558.025000000001</v>
      </c>
      <c r="C17">
        <v>-6</v>
      </c>
      <c r="D17" t="s">
        <v>618</v>
      </c>
      <c r="E17">
        <v>244014</v>
      </c>
      <c r="F17" t="s">
        <v>1095</v>
      </c>
    </row>
    <row r="18" spans="1:6" x14ac:dyDescent="0.2">
      <c r="A18" t="s">
        <v>57</v>
      </c>
      <c r="B18" s="180">
        <v>44558.025000000001</v>
      </c>
      <c r="C18">
        <v>-6</v>
      </c>
      <c r="D18" t="s">
        <v>617</v>
      </c>
      <c r="E18">
        <v>244020</v>
      </c>
      <c r="F18" t="s">
        <v>1095</v>
      </c>
    </row>
    <row r="19" spans="1:6" x14ac:dyDescent="0.2">
      <c r="A19" t="s">
        <v>63</v>
      </c>
      <c r="B19" s="180">
        <v>44558.025000000001</v>
      </c>
      <c r="C19">
        <v>-6</v>
      </c>
      <c r="D19" t="s">
        <v>627</v>
      </c>
      <c r="E19">
        <v>244024</v>
      </c>
      <c r="F19" t="s">
        <v>1095</v>
      </c>
    </row>
    <row r="20" spans="1:6" x14ac:dyDescent="0.2">
      <c r="A20" t="s">
        <v>64</v>
      </c>
      <c r="B20" s="180">
        <v>44558.025000000001</v>
      </c>
      <c r="C20">
        <v>-6</v>
      </c>
      <c r="D20" t="s">
        <v>628</v>
      </c>
      <c r="E20">
        <v>244028</v>
      </c>
      <c r="F20" t="s">
        <v>1095</v>
      </c>
    </row>
    <row r="21" spans="1:6" x14ac:dyDescent="0.2">
      <c r="A21" t="s">
        <v>66</v>
      </c>
      <c r="B21" s="180">
        <v>44558.025000000001</v>
      </c>
      <c r="C21">
        <v>-6</v>
      </c>
      <c r="D21" t="s">
        <v>621</v>
      </c>
      <c r="E21">
        <v>244035</v>
      </c>
      <c r="F21" t="s">
        <v>1095</v>
      </c>
    </row>
    <row r="22" spans="1:6" x14ac:dyDescent="0.2">
      <c r="A22" t="s">
        <v>61</v>
      </c>
      <c r="B22" s="180">
        <v>44558.025000000001</v>
      </c>
      <c r="C22">
        <v>-6</v>
      </c>
      <c r="D22" t="s">
        <v>620</v>
      </c>
      <c r="E22">
        <v>244041</v>
      </c>
      <c r="F22" t="s">
        <v>1095</v>
      </c>
    </row>
    <row r="23" spans="1:6" x14ac:dyDescent="0.2">
      <c r="A23" t="s">
        <v>111</v>
      </c>
      <c r="B23" s="180">
        <v>44558.025000000001</v>
      </c>
      <c r="C23">
        <v>-6</v>
      </c>
      <c r="D23" t="s">
        <v>629</v>
      </c>
      <c r="E23">
        <v>244047</v>
      </c>
      <c r="F23" t="s">
        <v>1095</v>
      </c>
    </row>
    <row r="24" spans="1:6" x14ac:dyDescent="0.2">
      <c r="A24" t="s">
        <v>105</v>
      </c>
      <c r="B24" s="180">
        <v>44558.025000000001</v>
      </c>
      <c r="C24">
        <v>-6</v>
      </c>
      <c r="D24" t="s">
        <v>1016</v>
      </c>
      <c r="E24">
        <v>244055</v>
      </c>
      <c r="F24" t="s">
        <v>1095</v>
      </c>
    </row>
    <row r="25" spans="1:6" x14ac:dyDescent="0.2">
      <c r="A25" t="s">
        <v>68</v>
      </c>
      <c r="B25" s="180">
        <v>44558.025000000001</v>
      </c>
      <c r="C25">
        <v>-6</v>
      </c>
      <c r="D25" t="s">
        <v>1020</v>
      </c>
      <c r="E25">
        <v>244059</v>
      </c>
      <c r="F25" t="s">
        <v>1095</v>
      </c>
    </row>
    <row r="26" spans="1:6" x14ac:dyDescent="0.2">
      <c r="A26" t="s">
        <v>86</v>
      </c>
      <c r="B26" s="180">
        <v>44558.025000000001</v>
      </c>
      <c r="C26">
        <v>-6</v>
      </c>
      <c r="D26" t="s">
        <v>1025</v>
      </c>
      <c r="E26">
        <v>244066</v>
      </c>
      <c r="F26" t="s">
        <v>1095</v>
      </c>
    </row>
    <row r="27" spans="1:6" x14ac:dyDescent="0.2">
      <c r="A27" t="s">
        <v>70</v>
      </c>
      <c r="B27" s="180">
        <v>44589.029861111114</v>
      </c>
      <c r="C27">
        <v>-6</v>
      </c>
      <c r="D27" t="s">
        <v>622</v>
      </c>
      <c r="E27">
        <v>244455</v>
      </c>
      <c r="F27" t="s">
        <v>1095</v>
      </c>
    </row>
    <row r="28" spans="1:6" x14ac:dyDescent="0.2">
      <c r="A28" t="s">
        <v>72</v>
      </c>
      <c r="B28" s="180">
        <v>44558.025000000001</v>
      </c>
      <c r="C28">
        <v>-6</v>
      </c>
      <c r="D28" t="s">
        <v>1030</v>
      </c>
      <c r="E28">
        <v>244080</v>
      </c>
      <c r="F28" t="s">
        <v>1095</v>
      </c>
    </row>
    <row r="29" spans="1:6" x14ac:dyDescent="0.2">
      <c r="A29" t="s">
        <v>118</v>
      </c>
      <c r="B29" s="180">
        <v>44558.025000000001</v>
      </c>
      <c r="C29">
        <v>-6</v>
      </c>
      <c r="D29" t="s">
        <v>1035</v>
      </c>
      <c r="E29">
        <v>244084</v>
      </c>
      <c r="F29" t="s">
        <v>1095</v>
      </c>
    </row>
    <row r="30" spans="1:6" x14ac:dyDescent="0.2">
      <c r="A30" t="s">
        <v>227</v>
      </c>
      <c r="B30" s="180">
        <v>44589.029861111114</v>
      </c>
      <c r="C30">
        <v>-6</v>
      </c>
      <c r="D30" t="s">
        <v>785</v>
      </c>
      <c r="E30">
        <v>244447</v>
      </c>
      <c r="F30" t="s">
        <v>1096</v>
      </c>
    </row>
    <row r="31" spans="1:6" x14ac:dyDescent="0.2">
      <c r="A31" t="s">
        <v>226</v>
      </c>
      <c r="B31" s="180">
        <v>44589.029861111114</v>
      </c>
      <c r="C31">
        <v>-6</v>
      </c>
      <c r="D31" t="s">
        <v>786</v>
      </c>
      <c r="E31">
        <v>244448</v>
      </c>
      <c r="F31" t="s">
        <v>1096</v>
      </c>
    </row>
    <row r="32" spans="1:6" x14ac:dyDescent="0.2">
      <c r="A32" t="s">
        <v>70</v>
      </c>
      <c r="B32" s="180">
        <v>44589.029861111114</v>
      </c>
      <c r="C32">
        <v>-6</v>
      </c>
      <c r="D32" t="s">
        <v>622</v>
      </c>
      <c r="E32">
        <v>244455</v>
      </c>
      <c r="F32" t="s">
        <v>1096</v>
      </c>
    </row>
    <row r="33" spans="1:6" x14ac:dyDescent="0.2">
      <c r="A33" t="s">
        <v>71</v>
      </c>
      <c r="B33" s="180">
        <v>44589.029861111114</v>
      </c>
      <c r="C33">
        <v>-6</v>
      </c>
      <c r="D33" t="s">
        <v>623</v>
      </c>
      <c r="E33">
        <v>244459</v>
      </c>
      <c r="F33" t="s">
        <v>1096</v>
      </c>
    </row>
    <row r="34" spans="1:6" x14ac:dyDescent="0.2">
      <c r="A34" t="s">
        <v>69</v>
      </c>
      <c r="B34" s="180">
        <v>44589.029861111114</v>
      </c>
      <c r="C34">
        <v>-6</v>
      </c>
      <c r="D34" t="s">
        <v>787</v>
      </c>
      <c r="E34">
        <v>244460</v>
      </c>
      <c r="F34" t="s">
        <v>1096</v>
      </c>
    </row>
    <row r="35" spans="1:6" x14ac:dyDescent="0.2">
      <c r="A35" t="s">
        <v>115</v>
      </c>
      <c r="B35" s="180">
        <v>44589.029861111114</v>
      </c>
      <c r="C35">
        <v>-6</v>
      </c>
      <c r="D35" t="s">
        <v>624</v>
      </c>
      <c r="E35">
        <v>244464</v>
      </c>
      <c r="F35" t="s">
        <v>1096</v>
      </c>
    </row>
    <row r="36" spans="1:6" x14ac:dyDescent="0.2">
      <c r="A36" t="s">
        <v>74</v>
      </c>
      <c r="B36" s="180">
        <v>44589.029861111114</v>
      </c>
      <c r="C36">
        <v>-6</v>
      </c>
      <c r="D36" t="s">
        <v>625</v>
      </c>
      <c r="E36">
        <v>244468</v>
      </c>
      <c r="F36" t="s">
        <v>1096</v>
      </c>
    </row>
    <row r="37" spans="1:6" x14ac:dyDescent="0.2">
      <c r="A37" t="s">
        <v>53</v>
      </c>
      <c r="B37" s="180">
        <v>44589.029861111114</v>
      </c>
      <c r="C37">
        <v>-12</v>
      </c>
      <c r="D37" t="s">
        <v>615</v>
      </c>
      <c r="E37">
        <v>244472</v>
      </c>
      <c r="F37" t="s">
        <v>1096</v>
      </c>
    </row>
    <row r="38" spans="1:6" x14ac:dyDescent="0.2">
      <c r="A38" t="s">
        <v>56</v>
      </c>
      <c r="B38" s="180">
        <v>44589.029861111114</v>
      </c>
      <c r="C38">
        <v>-6</v>
      </c>
      <c r="D38" t="s">
        <v>616</v>
      </c>
      <c r="E38">
        <v>244473</v>
      </c>
      <c r="F38" t="s">
        <v>1096</v>
      </c>
    </row>
    <row r="39" spans="1:6" x14ac:dyDescent="0.2">
      <c r="A39" t="s">
        <v>187</v>
      </c>
      <c r="B39" s="180">
        <v>44589.029861111114</v>
      </c>
      <c r="C39">
        <v>-6</v>
      </c>
      <c r="D39" t="s">
        <v>619</v>
      </c>
      <c r="E39">
        <v>244479</v>
      </c>
      <c r="F39" t="s">
        <v>1096</v>
      </c>
    </row>
    <row r="40" spans="1:6" x14ac:dyDescent="0.2">
      <c r="A40" t="s">
        <v>59</v>
      </c>
      <c r="B40" s="180">
        <v>44589.029861111114</v>
      </c>
      <c r="C40">
        <v>-6</v>
      </c>
      <c r="D40" t="s">
        <v>618</v>
      </c>
      <c r="E40">
        <v>244483</v>
      </c>
      <c r="F40" t="s">
        <v>1096</v>
      </c>
    </row>
    <row r="41" spans="1:6" x14ac:dyDescent="0.2">
      <c r="A41" t="s">
        <v>57</v>
      </c>
      <c r="B41" s="180">
        <v>44589.029861111114</v>
      </c>
      <c r="C41">
        <v>-6</v>
      </c>
      <c r="D41" t="s">
        <v>617</v>
      </c>
      <c r="E41">
        <v>244489</v>
      </c>
      <c r="F41" t="s">
        <v>1096</v>
      </c>
    </row>
    <row r="42" spans="1:6" x14ac:dyDescent="0.2">
      <c r="A42" t="s">
        <v>63</v>
      </c>
      <c r="B42" s="180">
        <v>44589.029861111114</v>
      </c>
      <c r="C42">
        <v>-6</v>
      </c>
      <c r="D42" t="s">
        <v>627</v>
      </c>
      <c r="E42">
        <v>244493</v>
      </c>
      <c r="F42" t="s">
        <v>1096</v>
      </c>
    </row>
    <row r="43" spans="1:6" x14ac:dyDescent="0.2">
      <c r="A43" t="s">
        <v>64</v>
      </c>
      <c r="B43" s="180">
        <v>44589.029861111114</v>
      </c>
      <c r="C43">
        <v>-6</v>
      </c>
      <c r="D43" t="s">
        <v>628</v>
      </c>
      <c r="E43">
        <v>244497</v>
      </c>
      <c r="F43" t="s">
        <v>1096</v>
      </c>
    </row>
    <row r="44" spans="1:6" x14ac:dyDescent="0.2">
      <c r="A44" t="s">
        <v>66</v>
      </c>
      <c r="B44" s="180">
        <v>44589.029861111114</v>
      </c>
      <c r="C44">
        <v>-6</v>
      </c>
      <c r="D44" t="s">
        <v>621</v>
      </c>
      <c r="E44">
        <v>244504</v>
      </c>
      <c r="F44" t="s">
        <v>1096</v>
      </c>
    </row>
    <row r="45" spans="1:6" x14ac:dyDescent="0.2">
      <c r="A45" t="s">
        <v>61</v>
      </c>
      <c r="B45" s="180">
        <v>44589.029861111114</v>
      </c>
      <c r="C45">
        <v>-6</v>
      </c>
      <c r="D45" t="s">
        <v>620</v>
      </c>
      <c r="E45">
        <v>244511</v>
      </c>
      <c r="F45" t="s">
        <v>1096</v>
      </c>
    </row>
    <row r="46" spans="1:6" x14ac:dyDescent="0.2">
      <c r="A46" t="s">
        <v>111</v>
      </c>
      <c r="B46" s="180">
        <v>44589.029861111114</v>
      </c>
      <c r="C46">
        <v>-6</v>
      </c>
      <c r="D46" t="s">
        <v>629</v>
      </c>
      <c r="E46">
        <v>244518</v>
      </c>
      <c r="F46" t="s">
        <v>1096</v>
      </c>
    </row>
    <row r="47" spans="1:6" x14ac:dyDescent="0.2">
      <c r="A47" t="s">
        <v>186</v>
      </c>
      <c r="B47" s="180">
        <v>44589.029861111114</v>
      </c>
      <c r="C47">
        <v>-6</v>
      </c>
      <c r="D47" t="s">
        <v>626</v>
      </c>
      <c r="E47">
        <v>244519</v>
      </c>
      <c r="F47" t="s">
        <v>1096</v>
      </c>
    </row>
    <row r="48" spans="1:6" x14ac:dyDescent="0.2">
      <c r="A48" t="s">
        <v>105</v>
      </c>
      <c r="B48" s="180">
        <v>44589.029861111114</v>
      </c>
      <c r="C48">
        <v>-6</v>
      </c>
      <c r="D48" t="s">
        <v>1016</v>
      </c>
      <c r="E48">
        <v>244523</v>
      </c>
      <c r="F48" t="s">
        <v>1096</v>
      </c>
    </row>
    <row r="49" spans="1:6" x14ac:dyDescent="0.2">
      <c r="A49" t="s">
        <v>68</v>
      </c>
      <c r="B49" s="180">
        <v>44589.029861111114</v>
      </c>
      <c r="C49">
        <v>-6</v>
      </c>
      <c r="D49" t="s">
        <v>1020</v>
      </c>
      <c r="E49">
        <v>244527</v>
      </c>
      <c r="F49" t="s">
        <v>1096</v>
      </c>
    </row>
    <row r="50" spans="1:6" x14ac:dyDescent="0.2">
      <c r="A50" t="s">
        <v>86</v>
      </c>
      <c r="B50" s="180">
        <v>44589.029861111114</v>
      </c>
      <c r="C50">
        <v>-6</v>
      </c>
      <c r="D50" t="s">
        <v>1025</v>
      </c>
      <c r="E50">
        <v>244534</v>
      </c>
      <c r="F50" t="s">
        <v>1096</v>
      </c>
    </row>
    <row r="51" spans="1:6" x14ac:dyDescent="0.2">
      <c r="A51" t="s">
        <v>70</v>
      </c>
      <c r="B51" s="180">
        <v>44589.029861111114</v>
      </c>
      <c r="C51">
        <v>-6</v>
      </c>
      <c r="D51" t="s">
        <v>622</v>
      </c>
      <c r="E51">
        <v>244541</v>
      </c>
      <c r="F51" t="s">
        <v>1096</v>
      </c>
    </row>
    <row r="52" spans="1:6" x14ac:dyDescent="0.2">
      <c r="A52" t="s">
        <v>72</v>
      </c>
      <c r="B52" s="180">
        <v>44589.029861111114</v>
      </c>
      <c r="C52">
        <v>-6</v>
      </c>
      <c r="D52" t="s">
        <v>1030</v>
      </c>
      <c r="E52">
        <v>244548</v>
      </c>
      <c r="F52" t="s">
        <v>1096</v>
      </c>
    </row>
    <row r="53" spans="1:6" x14ac:dyDescent="0.2">
      <c r="A53" t="s">
        <v>118</v>
      </c>
      <c r="B53" s="180">
        <v>44589.029861111114</v>
      </c>
      <c r="C53">
        <v>-6</v>
      </c>
      <c r="D53" t="s">
        <v>1035</v>
      </c>
      <c r="E53">
        <v>244555</v>
      </c>
      <c r="F53" t="s">
        <v>1096</v>
      </c>
    </row>
    <row r="54" spans="1:6" x14ac:dyDescent="0.2">
      <c r="A54" t="s">
        <v>75</v>
      </c>
      <c r="B54" s="180">
        <v>44589.029861111114</v>
      </c>
      <c r="C54">
        <v>-6</v>
      </c>
      <c r="D54" t="s">
        <v>1036</v>
      </c>
      <c r="E54">
        <v>244556</v>
      </c>
      <c r="F54" t="s">
        <v>1096</v>
      </c>
    </row>
    <row r="56" spans="1:6" ht="15" x14ac:dyDescent="0.25">
      <c r="A56" s="179" t="s">
        <v>1097</v>
      </c>
    </row>
    <row r="57" spans="1:6" x14ac:dyDescent="0.2">
      <c r="A57" t="s">
        <v>1098</v>
      </c>
      <c r="B57" t="s">
        <v>515</v>
      </c>
    </row>
    <row r="58" spans="1:6" x14ac:dyDescent="0.2">
      <c r="A58" t="s">
        <v>1099</v>
      </c>
      <c r="B58">
        <v>130</v>
      </c>
    </row>
    <row r="59" spans="1:6" x14ac:dyDescent="0.2">
      <c r="A59" t="s">
        <v>1100</v>
      </c>
      <c r="B59">
        <v>130</v>
      </c>
    </row>
    <row r="60" spans="1:6" x14ac:dyDescent="0.2">
      <c r="A60" t="s">
        <v>1101</v>
      </c>
      <c r="B60">
        <v>0</v>
      </c>
    </row>
    <row r="61" spans="1:6" x14ac:dyDescent="0.2">
      <c r="A61" t="s">
        <v>1102</v>
      </c>
      <c r="B61">
        <v>130</v>
      </c>
      <c r="C61">
        <v>129</v>
      </c>
    </row>
    <row r="62" spans="1:6" x14ac:dyDescent="0.2">
      <c r="A62" t="s">
        <v>1103</v>
      </c>
      <c r="B62">
        <v>25</v>
      </c>
      <c r="C62">
        <v>25</v>
      </c>
    </row>
    <row r="63" spans="1:6" x14ac:dyDescent="0.2">
      <c r="A63" t="s">
        <v>1104</v>
      </c>
      <c r="B63">
        <v>29</v>
      </c>
      <c r="C63">
        <v>29</v>
      </c>
    </row>
    <row r="65" spans="1:3" x14ac:dyDescent="0.2">
      <c r="A65" t="s">
        <v>1098</v>
      </c>
      <c r="B65" t="s">
        <v>516</v>
      </c>
    </row>
    <row r="66" spans="1:3" x14ac:dyDescent="0.2">
      <c r="A66" t="s">
        <v>1099</v>
      </c>
      <c r="B66">
        <v>59</v>
      </c>
    </row>
    <row r="67" spans="1:3" x14ac:dyDescent="0.2">
      <c r="A67" t="s">
        <v>1100</v>
      </c>
      <c r="B67">
        <v>59</v>
      </c>
    </row>
    <row r="68" spans="1:3" x14ac:dyDescent="0.2">
      <c r="A68" t="s">
        <v>1101</v>
      </c>
      <c r="B68">
        <v>0</v>
      </c>
    </row>
    <row r="69" spans="1:3" x14ac:dyDescent="0.2">
      <c r="A69" t="s">
        <v>1102</v>
      </c>
      <c r="B69">
        <v>59</v>
      </c>
      <c r="C69">
        <v>59</v>
      </c>
    </row>
    <row r="70" spans="1:3" x14ac:dyDescent="0.2">
      <c r="A70" t="s">
        <v>1103</v>
      </c>
      <c r="B70">
        <v>4</v>
      </c>
      <c r="C70">
        <v>4</v>
      </c>
    </row>
    <row r="71" spans="1:3" x14ac:dyDescent="0.2">
      <c r="A71" t="s">
        <v>1104</v>
      </c>
      <c r="B71">
        <v>15</v>
      </c>
      <c r="C71">
        <v>15</v>
      </c>
    </row>
    <row r="78" spans="1:3" x14ac:dyDescent="0.2">
      <c r="B78" s="134"/>
    </row>
    <row r="79" spans="1:3" x14ac:dyDescent="0.2">
      <c r="B79" s="134"/>
    </row>
    <row r="80" spans="1:3" x14ac:dyDescent="0.2">
      <c r="B80" s="134"/>
    </row>
    <row r="81" spans="2:2" x14ac:dyDescent="0.2">
      <c r="B81" s="134"/>
    </row>
    <row r="82" spans="2:2" x14ac:dyDescent="0.2">
      <c r="B82" s="134"/>
    </row>
    <row r="83" spans="2:2" x14ac:dyDescent="0.2">
      <c r="B83" s="134"/>
    </row>
    <row r="84" spans="2:2" x14ac:dyDescent="0.2">
      <c r="B84" s="134"/>
    </row>
    <row r="85" spans="2:2" x14ac:dyDescent="0.2">
      <c r="B85" s="134"/>
    </row>
    <row r="86" spans="2:2" x14ac:dyDescent="0.2">
      <c r="B86" s="134"/>
    </row>
    <row r="87" spans="2:2" x14ac:dyDescent="0.2">
      <c r="B87" s="134"/>
    </row>
    <row r="88" spans="2:2" x14ac:dyDescent="0.2">
      <c r="B88" s="134"/>
    </row>
    <row r="89" spans="2:2" x14ac:dyDescent="0.2">
      <c r="B89" s="134"/>
    </row>
    <row r="90" spans="2:2" x14ac:dyDescent="0.2">
      <c r="B90" s="134"/>
    </row>
    <row r="91" spans="2:2" x14ac:dyDescent="0.2">
      <c r="B91" s="134"/>
    </row>
    <row r="92" spans="2:2" x14ac:dyDescent="0.2">
      <c r="B92" s="134"/>
    </row>
    <row r="93" spans="2:2" x14ac:dyDescent="0.2">
      <c r="B93" s="134"/>
    </row>
    <row r="94" spans="2:2" x14ac:dyDescent="0.2">
      <c r="B94" s="134"/>
    </row>
    <row r="95" spans="2:2" x14ac:dyDescent="0.2">
      <c r="B95" s="134"/>
    </row>
    <row r="96" spans="2:2" x14ac:dyDescent="0.2">
      <c r="B96" s="134"/>
    </row>
    <row r="97" spans="1:2" x14ac:dyDescent="0.2">
      <c r="B97" s="134"/>
    </row>
    <row r="98" spans="1:2" x14ac:dyDescent="0.2">
      <c r="B98" s="134"/>
    </row>
    <row r="99" spans="1:2" x14ac:dyDescent="0.2">
      <c r="B99" s="134"/>
    </row>
    <row r="101" spans="1:2" ht="15" x14ac:dyDescent="0.25">
      <c r="A101" s="133"/>
    </row>
  </sheetData>
  <phoneticPr fontId="16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71"/>
  <sheetViews>
    <sheetView topLeftCell="A35" zoomScale="70" zoomScaleNormal="70" workbookViewId="0">
      <selection activeCell="E78" sqref="E78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12.85546875" style="127" bestFit="1" customWidth="1"/>
    <col min="5" max="5" width="14.28515625" style="127" bestFit="1" customWidth="1"/>
    <col min="6" max="6" width="50.140625" style="127" bestFit="1" customWidth="1"/>
    <col min="7" max="7" width="10.7109375" style="127" bestFit="1" customWidth="1"/>
    <col min="8" max="8" width="25.57031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44565</v>
      </c>
      <c r="C2" s="127" t="s">
        <v>660</v>
      </c>
      <c r="D2" s="127">
        <v>-128.91999999999999</v>
      </c>
      <c r="E2" s="127" t="s">
        <v>662</v>
      </c>
      <c r="F2" s="127" t="s">
        <v>906</v>
      </c>
      <c r="G2" s="132" t="s">
        <v>992</v>
      </c>
      <c r="H2" s="129" t="s">
        <v>1011</v>
      </c>
      <c r="I2" t="s">
        <v>1038</v>
      </c>
    </row>
    <row r="3" spans="1:9" x14ac:dyDescent="0.2">
      <c r="B3" s="128">
        <v>44565</v>
      </c>
      <c r="C3" s="127" t="s">
        <v>660</v>
      </c>
      <c r="D3" s="127">
        <v>-283.2</v>
      </c>
      <c r="E3" s="127" t="s">
        <v>662</v>
      </c>
      <c r="F3" s="127" t="s">
        <v>907</v>
      </c>
      <c r="G3" s="51" t="s">
        <v>463</v>
      </c>
      <c r="H3" s="127" t="s">
        <v>907</v>
      </c>
      <c r="I3" t="s">
        <v>1038</v>
      </c>
    </row>
    <row r="4" spans="1:9" x14ac:dyDescent="0.2">
      <c r="B4" s="128">
        <v>44565</v>
      </c>
      <c r="C4" s="127" t="s">
        <v>660</v>
      </c>
      <c r="D4" s="127">
        <v>-250</v>
      </c>
      <c r="E4" s="127" t="s">
        <v>663</v>
      </c>
      <c r="F4" s="127" t="s">
        <v>664</v>
      </c>
      <c r="G4" s="168"/>
      <c r="H4" s="129"/>
      <c r="I4" t="s">
        <v>1039</v>
      </c>
    </row>
    <row r="5" spans="1:9" x14ac:dyDescent="0.2">
      <c r="B5" s="128">
        <v>44565</v>
      </c>
      <c r="C5" s="127" t="s">
        <v>660</v>
      </c>
      <c r="D5" s="127">
        <v>-1200</v>
      </c>
      <c r="E5" s="127" t="s">
        <v>663</v>
      </c>
      <c r="F5" s="127" t="s">
        <v>665</v>
      </c>
      <c r="G5" s="168"/>
      <c r="H5" s="129"/>
      <c r="I5" t="s">
        <v>1039</v>
      </c>
    </row>
    <row r="6" spans="1:9" x14ac:dyDescent="0.2">
      <c r="B6" s="128">
        <v>44565</v>
      </c>
      <c r="C6" s="127" t="s">
        <v>660</v>
      </c>
      <c r="D6" s="127">
        <v>-500</v>
      </c>
      <c r="E6" s="127" t="s">
        <v>663</v>
      </c>
      <c r="F6" s="127" t="s">
        <v>666</v>
      </c>
      <c r="G6" s="168"/>
      <c r="H6" s="129"/>
      <c r="I6" t="s">
        <v>1039</v>
      </c>
    </row>
    <row r="7" spans="1:9" x14ac:dyDescent="0.2">
      <c r="B7" s="128">
        <v>44565</v>
      </c>
      <c r="C7" s="127" t="s">
        <v>660</v>
      </c>
      <c r="D7" s="127">
        <v>-50</v>
      </c>
      <c r="E7" s="127" t="s">
        <v>663</v>
      </c>
      <c r="F7" s="127" t="s">
        <v>667</v>
      </c>
      <c r="G7" s="168"/>
      <c r="H7" s="129"/>
      <c r="I7" t="s">
        <v>1039</v>
      </c>
    </row>
    <row r="8" spans="1:9" x14ac:dyDescent="0.2">
      <c r="B8" s="128">
        <v>44565</v>
      </c>
      <c r="C8" s="127" t="s">
        <v>660</v>
      </c>
      <c r="D8" s="127">
        <v>-50</v>
      </c>
      <c r="E8" s="127" t="s">
        <v>663</v>
      </c>
      <c r="F8" s="127" t="s">
        <v>668</v>
      </c>
      <c r="G8" s="168"/>
      <c r="I8" t="s">
        <v>1039</v>
      </c>
    </row>
    <row r="9" spans="1:9" x14ac:dyDescent="0.2">
      <c r="B9" s="128">
        <v>44565</v>
      </c>
      <c r="C9" s="127" t="s">
        <v>660</v>
      </c>
      <c r="D9" s="127">
        <v>-160</v>
      </c>
      <c r="E9" s="127" t="s">
        <v>663</v>
      </c>
      <c r="F9" s="127" t="s">
        <v>669</v>
      </c>
      <c r="G9" s="168"/>
      <c r="I9" t="s">
        <v>1039</v>
      </c>
    </row>
    <row r="10" spans="1:9" x14ac:dyDescent="0.2">
      <c r="B10" s="128">
        <v>44565</v>
      </c>
      <c r="C10" s="127" t="s">
        <v>660</v>
      </c>
      <c r="D10" s="127">
        <v>-157.5</v>
      </c>
      <c r="E10" s="127" t="s">
        <v>663</v>
      </c>
      <c r="F10" s="127" t="s">
        <v>670</v>
      </c>
      <c r="G10" s="168"/>
      <c r="I10" t="s">
        <v>1039</v>
      </c>
    </row>
    <row r="11" spans="1:9" x14ac:dyDescent="0.2">
      <c r="B11" s="128">
        <v>44565</v>
      </c>
      <c r="C11" s="127" t="s">
        <v>660</v>
      </c>
      <c r="D11" s="127">
        <v>-232.5</v>
      </c>
      <c r="E11" s="127" t="s">
        <v>663</v>
      </c>
      <c r="F11" s="127" t="s">
        <v>671</v>
      </c>
      <c r="G11" s="168"/>
      <c r="I11" t="s">
        <v>1039</v>
      </c>
    </row>
    <row r="12" spans="1:9" x14ac:dyDescent="0.2">
      <c r="B12" s="128">
        <v>44565</v>
      </c>
      <c r="C12" s="127" t="s">
        <v>660</v>
      </c>
      <c r="D12" s="127">
        <v>-28.45</v>
      </c>
      <c r="E12" s="127" t="s">
        <v>672</v>
      </c>
      <c r="F12" s="127" t="s">
        <v>675</v>
      </c>
      <c r="G12" s="169"/>
      <c r="H12" s="129"/>
      <c r="I12" t="s">
        <v>1039</v>
      </c>
    </row>
    <row r="13" spans="1:9" x14ac:dyDescent="0.2">
      <c r="B13" s="128">
        <v>44565</v>
      </c>
      <c r="C13" s="127" t="s">
        <v>660</v>
      </c>
      <c r="D13" s="127">
        <v>-85.92</v>
      </c>
      <c r="E13" s="127" t="s">
        <v>672</v>
      </c>
      <c r="F13" s="127" t="s">
        <v>673</v>
      </c>
      <c r="G13" s="169"/>
      <c r="H13" s="129"/>
      <c r="I13" t="s">
        <v>1040</v>
      </c>
    </row>
    <row r="14" spans="1:9" x14ac:dyDescent="0.2">
      <c r="B14" s="128">
        <v>44565</v>
      </c>
      <c r="C14" s="127" t="s">
        <v>660</v>
      </c>
      <c r="D14" s="127">
        <v>-86.43</v>
      </c>
      <c r="E14" s="127" t="s">
        <v>672</v>
      </c>
      <c r="F14" s="127" t="s">
        <v>674</v>
      </c>
      <c r="G14" s="169"/>
      <c r="H14" s="129"/>
      <c r="I14" t="s">
        <v>1040</v>
      </c>
    </row>
    <row r="15" spans="1:9" x14ac:dyDescent="0.2">
      <c r="B15" s="128">
        <v>44565</v>
      </c>
      <c r="C15" s="127" t="s">
        <v>660</v>
      </c>
      <c r="D15" s="127">
        <v>-129.88999999999999</v>
      </c>
      <c r="E15" s="127" t="s">
        <v>672</v>
      </c>
      <c r="F15" s="127" t="s">
        <v>690</v>
      </c>
      <c r="G15" s="169"/>
      <c r="H15" s="129"/>
      <c r="I15" t="s">
        <v>1040</v>
      </c>
    </row>
    <row r="16" spans="1:9" x14ac:dyDescent="0.2">
      <c r="B16" s="128">
        <v>44565</v>
      </c>
      <c r="C16" s="127" t="s">
        <v>660</v>
      </c>
      <c r="D16" s="127">
        <v>-168.11</v>
      </c>
      <c r="E16" s="127" t="s">
        <v>672</v>
      </c>
      <c r="F16" s="127" t="s">
        <v>680</v>
      </c>
      <c r="G16" s="169"/>
      <c r="H16" s="129"/>
      <c r="I16" t="s">
        <v>1040</v>
      </c>
    </row>
    <row r="17" spans="2:9" x14ac:dyDescent="0.2">
      <c r="B17" s="128">
        <v>44565</v>
      </c>
      <c r="C17" s="127" t="s">
        <v>660</v>
      </c>
      <c r="D17" s="127">
        <v>-190.03</v>
      </c>
      <c r="E17" s="127" t="s">
        <v>672</v>
      </c>
      <c r="F17" s="127" t="s">
        <v>681</v>
      </c>
      <c r="G17" s="169"/>
      <c r="H17" s="129"/>
      <c r="I17" t="s">
        <v>1040</v>
      </c>
    </row>
    <row r="18" spans="2:9" x14ac:dyDescent="0.2">
      <c r="B18" s="128">
        <v>44565</v>
      </c>
      <c r="C18" s="127" t="s">
        <v>660</v>
      </c>
      <c r="D18" s="127">
        <v>-209.76</v>
      </c>
      <c r="E18" s="127" t="s">
        <v>672</v>
      </c>
      <c r="F18" s="127" t="s">
        <v>682</v>
      </c>
      <c r="G18" s="170"/>
      <c r="I18" t="s">
        <v>1040</v>
      </c>
    </row>
    <row r="19" spans="2:9" x14ac:dyDescent="0.2">
      <c r="B19" s="128">
        <v>44565</v>
      </c>
      <c r="C19" s="127" t="s">
        <v>660</v>
      </c>
      <c r="D19" s="127">
        <v>-202.51</v>
      </c>
      <c r="E19" s="127" t="s">
        <v>672</v>
      </c>
      <c r="F19" s="127" t="s">
        <v>683</v>
      </c>
      <c r="G19" s="170"/>
      <c r="I19" t="s">
        <v>1040</v>
      </c>
    </row>
    <row r="20" spans="2:9" x14ac:dyDescent="0.2">
      <c r="B20" s="128">
        <v>44565</v>
      </c>
      <c r="C20" s="127" t="s">
        <v>660</v>
      </c>
      <c r="D20" s="127">
        <v>-166.31</v>
      </c>
      <c r="E20" s="127" t="s">
        <v>672</v>
      </c>
      <c r="F20" s="127" t="s">
        <v>684</v>
      </c>
      <c r="G20" s="170"/>
      <c r="H20" s="129"/>
      <c r="I20" t="s">
        <v>1040</v>
      </c>
    </row>
    <row r="21" spans="2:9" x14ac:dyDescent="0.2">
      <c r="B21" s="128">
        <v>44565</v>
      </c>
      <c r="C21" s="127" t="s">
        <v>660</v>
      </c>
      <c r="D21" s="127">
        <v>-202.36</v>
      </c>
      <c r="E21" s="127" t="s">
        <v>672</v>
      </c>
      <c r="F21" s="127" t="s">
        <v>685</v>
      </c>
      <c r="G21" s="170"/>
      <c r="I21" t="s">
        <v>1040</v>
      </c>
    </row>
    <row r="22" spans="2:9" x14ac:dyDescent="0.2">
      <c r="B22" s="128">
        <v>44565</v>
      </c>
      <c r="C22" s="127" t="s">
        <v>660</v>
      </c>
      <c r="D22" s="127">
        <v>-166.21</v>
      </c>
      <c r="E22" s="127" t="s">
        <v>672</v>
      </c>
      <c r="F22" s="127" t="s">
        <v>686</v>
      </c>
      <c r="G22" s="169"/>
      <c r="H22" s="129"/>
      <c r="I22" t="s">
        <v>1040</v>
      </c>
    </row>
    <row r="23" spans="2:9" x14ac:dyDescent="0.2">
      <c r="B23" s="128">
        <v>44565</v>
      </c>
      <c r="C23" s="127" t="s">
        <v>660</v>
      </c>
      <c r="D23" s="127">
        <v>-128.19</v>
      </c>
      <c r="E23" s="127" t="s">
        <v>672</v>
      </c>
      <c r="F23" s="127" t="s">
        <v>687</v>
      </c>
      <c r="G23" s="170"/>
      <c r="H23" s="129"/>
      <c r="I23" t="s">
        <v>1040</v>
      </c>
    </row>
    <row r="24" spans="2:9" x14ac:dyDescent="0.2">
      <c r="B24" s="128">
        <v>44565</v>
      </c>
      <c r="C24" s="127" t="s">
        <v>660</v>
      </c>
      <c r="D24" s="127">
        <v>-142.29</v>
      </c>
      <c r="E24" s="127" t="s">
        <v>672</v>
      </c>
      <c r="F24" s="127" t="s">
        <v>688</v>
      </c>
      <c r="G24" s="170"/>
      <c r="H24" s="129"/>
      <c r="I24" t="s">
        <v>1040</v>
      </c>
    </row>
    <row r="25" spans="2:9" x14ac:dyDescent="0.2">
      <c r="B25" s="128">
        <v>44565</v>
      </c>
      <c r="C25" s="127" t="s">
        <v>660</v>
      </c>
      <c r="D25" s="127">
        <v>-142.32</v>
      </c>
      <c r="E25" s="127" t="s">
        <v>672</v>
      </c>
      <c r="F25" s="127" t="s">
        <v>689</v>
      </c>
      <c r="G25" s="170"/>
      <c r="H25" s="129"/>
      <c r="I25" t="s">
        <v>1040</v>
      </c>
    </row>
    <row r="26" spans="2:9" x14ac:dyDescent="0.2">
      <c r="B26" s="128">
        <v>44565</v>
      </c>
      <c r="C26" s="127" t="s">
        <v>660</v>
      </c>
      <c r="D26" s="127">
        <v>-168.95</v>
      </c>
      <c r="E26" s="127" t="s">
        <v>672</v>
      </c>
      <c r="F26" s="127" t="s">
        <v>676</v>
      </c>
      <c r="G26" s="170"/>
      <c r="H26" s="129"/>
      <c r="I26" t="s">
        <v>1040</v>
      </c>
    </row>
    <row r="27" spans="2:9" x14ac:dyDescent="0.2">
      <c r="B27" s="128">
        <v>44565</v>
      </c>
      <c r="C27" s="127" t="s">
        <v>660</v>
      </c>
      <c r="D27" s="127">
        <v>-183.34</v>
      </c>
      <c r="E27" s="127" t="s">
        <v>672</v>
      </c>
      <c r="F27" s="127" t="s">
        <v>677</v>
      </c>
      <c r="G27" s="170"/>
      <c r="H27" s="129"/>
      <c r="I27" t="s">
        <v>1040</v>
      </c>
    </row>
    <row r="28" spans="2:9" x14ac:dyDescent="0.2">
      <c r="B28" s="128">
        <v>44565</v>
      </c>
      <c r="C28" s="127" t="s">
        <v>660</v>
      </c>
      <c r="D28" s="127">
        <v>-29.95</v>
      </c>
      <c r="E28" s="127" t="s">
        <v>662</v>
      </c>
      <c r="F28" s="127" t="s">
        <v>908</v>
      </c>
      <c r="G28" s="176"/>
      <c r="H28" s="131" t="s">
        <v>976</v>
      </c>
      <c r="I28" t="s">
        <v>1039</v>
      </c>
    </row>
    <row r="29" spans="2:9" x14ac:dyDescent="0.2">
      <c r="B29" s="128">
        <v>44565</v>
      </c>
      <c r="C29" s="127" t="s">
        <v>660</v>
      </c>
      <c r="D29" s="127">
        <v>-128.5</v>
      </c>
      <c r="E29" s="127" t="s">
        <v>662</v>
      </c>
      <c r="F29" s="127" t="s">
        <v>909</v>
      </c>
      <c r="G29" s="176"/>
      <c r="H29" s="131" t="s">
        <v>976</v>
      </c>
      <c r="I29" t="s">
        <v>1039</v>
      </c>
    </row>
    <row r="30" spans="2:9" x14ac:dyDescent="0.2">
      <c r="B30" s="128">
        <v>44565</v>
      </c>
      <c r="C30" s="127" t="s">
        <v>660</v>
      </c>
      <c r="D30" s="127">
        <v>850</v>
      </c>
      <c r="E30" s="127" t="s">
        <v>661</v>
      </c>
      <c r="F30" s="127" t="s">
        <v>678</v>
      </c>
      <c r="G30" s="51" t="s">
        <v>494</v>
      </c>
      <c r="H30" s="46" t="s">
        <v>971</v>
      </c>
      <c r="I30" t="s">
        <v>1041</v>
      </c>
    </row>
    <row r="31" spans="2:9" x14ac:dyDescent="0.2">
      <c r="B31" s="128">
        <v>44566</v>
      </c>
      <c r="C31" s="127" t="s">
        <v>660</v>
      </c>
      <c r="D31" s="127">
        <v>-130</v>
      </c>
      <c r="E31" s="127" t="s">
        <v>662</v>
      </c>
      <c r="F31" s="127" t="s">
        <v>910</v>
      </c>
      <c r="G31" s="51" t="s">
        <v>463</v>
      </c>
      <c r="H31" s="127" t="s">
        <v>910</v>
      </c>
      <c r="I31" t="s">
        <v>1038</v>
      </c>
    </row>
    <row r="32" spans="2:9" x14ac:dyDescent="0.2">
      <c r="B32" s="128">
        <v>44566</v>
      </c>
      <c r="C32" s="127" t="s">
        <v>660</v>
      </c>
      <c r="D32" s="127">
        <v>-100</v>
      </c>
      <c r="E32" s="127" t="s">
        <v>662</v>
      </c>
      <c r="F32" s="127" t="s">
        <v>911</v>
      </c>
      <c r="G32" s="177"/>
      <c r="H32" s="129" t="s">
        <v>976</v>
      </c>
      <c r="I32" t="s">
        <v>1039</v>
      </c>
    </row>
    <row r="33" spans="2:9" x14ac:dyDescent="0.2">
      <c r="B33" s="128">
        <v>44567</v>
      </c>
      <c r="C33" s="127" t="s">
        <v>660</v>
      </c>
      <c r="D33" s="127">
        <v>170</v>
      </c>
      <c r="E33" s="127" t="s">
        <v>691</v>
      </c>
      <c r="F33" s="127" t="s">
        <v>802</v>
      </c>
      <c r="G33" s="132" t="s">
        <v>484</v>
      </c>
      <c r="H33" s="46" t="s">
        <v>963</v>
      </c>
      <c r="I33" t="s">
        <v>1041</v>
      </c>
    </row>
    <row r="34" spans="2:9" x14ac:dyDescent="0.2">
      <c r="B34" s="128">
        <v>44568</v>
      </c>
      <c r="C34" s="127" t="s">
        <v>660</v>
      </c>
      <c r="D34" s="127">
        <v>-11.99</v>
      </c>
      <c r="E34" s="127" t="s">
        <v>662</v>
      </c>
      <c r="F34" s="127" t="s">
        <v>838</v>
      </c>
      <c r="G34" s="51" t="s">
        <v>497</v>
      </c>
      <c r="H34" s="129" t="s">
        <v>996</v>
      </c>
      <c r="I34" t="s">
        <v>1038</v>
      </c>
    </row>
    <row r="35" spans="2:9" x14ac:dyDescent="0.2">
      <c r="B35" s="128">
        <v>44568</v>
      </c>
      <c r="C35" s="127" t="s">
        <v>660</v>
      </c>
      <c r="D35" s="127">
        <v>470.32</v>
      </c>
      <c r="E35" s="127" t="s">
        <v>691</v>
      </c>
      <c r="F35" s="127" t="s">
        <v>693</v>
      </c>
      <c r="G35" s="171"/>
      <c r="I35" t="s">
        <v>1039</v>
      </c>
    </row>
    <row r="36" spans="2:9" x14ac:dyDescent="0.2">
      <c r="B36" s="128">
        <v>44568</v>
      </c>
      <c r="C36" s="127" t="s">
        <v>660</v>
      </c>
      <c r="D36" s="127">
        <v>452</v>
      </c>
      <c r="E36" s="127" t="s">
        <v>691</v>
      </c>
      <c r="F36" s="127" t="s">
        <v>692</v>
      </c>
      <c r="G36" s="171"/>
      <c r="I36" t="s">
        <v>1039</v>
      </c>
    </row>
    <row r="37" spans="2:9" x14ac:dyDescent="0.2">
      <c r="B37" s="128">
        <v>44568</v>
      </c>
      <c r="C37" s="127" t="s">
        <v>660</v>
      </c>
      <c r="D37" s="127">
        <v>-15</v>
      </c>
      <c r="E37" s="127" t="s">
        <v>663</v>
      </c>
      <c r="F37" s="127" t="s">
        <v>715</v>
      </c>
      <c r="G37" s="53" t="s">
        <v>552</v>
      </c>
      <c r="H37" s="46" t="s">
        <v>980</v>
      </c>
      <c r="I37" t="s">
        <v>1038</v>
      </c>
    </row>
    <row r="38" spans="2:9" x14ac:dyDescent="0.2">
      <c r="B38" s="128">
        <v>44568</v>
      </c>
      <c r="C38" s="127" t="s">
        <v>660</v>
      </c>
      <c r="D38" s="127">
        <v>-156</v>
      </c>
      <c r="E38" s="127" t="s">
        <v>662</v>
      </c>
      <c r="F38" s="127" t="s">
        <v>912</v>
      </c>
      <c r="G38" s="132" t="s">
        <v>551</v>
      </c>
      <c r="H38" s="127" t="s">
        <v>912</v>
      </c>
      <c r="I38" t="s">
        <v>1038</v>
      </c>
    </row>
    <row r="39" spans="2:9" x14ac:dyDescent="0.2">
      <c r="B39" s="128">
        <v>44571</v>
      </c>
      <c r="C39" s="127" t="s">
        <v>660</v>
      </c>
      <c r="D39" s="127">
        <v>650</v>
      </c>
      <c r="E39" s="127" t="s">
        <v>697</v>
      </c>
      <c r="F39" s="127" t="s">
        <v>698</v>
      </c>
      <c r="G39" s="132" t="s">
        <v>477</v>
      </c>
      <c r="H39" s="46" t="s">
        <v>967</v>
      </c>
      <c r="I39" t="s">
        <v>1041</v>
      </c>
    </row>
    <row r="40" spans="2:9" x14ac:dyDescent="0.2">
      <c r="B40" s="128">
        <v>44571</v>
      </c>
      <c r="C40" s="127" t="s">
        <v>660</v>
      </c>
      <c r="D40" s="127">
        <v>-50.64</v>
      </c>
      <c r="E40" s="127" t="s">
        <v>672</v>
      </c>
      <c r="F40" s="127" t="s">
        <v>800</v>
      </c>
      <c r="G40" s="170"/>
      <c r="H40" s="131"/>
      <c r="I40" t="s">
        <v>1040</v>
      </c>
    </row>
    <row r="41" spans="2:9" x14ac:dyDescent="0.2">
      <c r="B41" s="128">
        <v>44571</v>
      </c>
      <c r="C41" s="127" t="s">
        <v>660</v>
      </c>
      <c r="D41" s="127">
        <v>-17.25</v>
      </c>
      <c r="E41" s="127" t="s">
        <v>672</v>
      </c>
      <c r="F41" s="127" t="s">
        <v>799</v>
      </c>
      <c r="G41" s="170"/>
      <c r="H41" s="131"/>
      <c r="I41" t="s">
        <v>1040</v>
      </c>
    </row>
    <row r="42" spans="2:9" x14ac:dyDescent="0.2">
      <c r="B42" s="128">
        <v>44572</v>
      </c>
      <c r="C42" s="127" t="s">
        <v>660</v>
      </c>
      <c r="D42" s="127">
        <v>452</v>
      </c>
      <c r="E42" s="127" t="s">
        <v>691</v>
      </c>
      <c r="F42" s="127" t="s">
        <v>696</v>
      </c>
      <c r="G42" s="171"/>
      <c r="H42" s="129"/>
      <c r="I42" t="s">
        <v>1039</v>
      </c>
    </row>
    <row r="43" spans="2:9" x14ac:dyDescent="0.2">
      <c r="B43" s="128">
        <v>44572</v>
      </c>
      <c r="C43" s="127" t="s">
        <v>660</v>
      </c>
      <c r="D43" s="127">
        <v>186.98</v>
      </c>
      <c r="E43" s="127" t="s">
        <v>691</v>
      </c>
      <c r="F43" s="127" t="s">
        <v>699</v>
      </c>
      <c r="G43" s="171"/>
      <c r="H43" s="129"/>
      <c r="I43" t="s">
        <v>1039</v>
      </c>
    </row>
    <row r="44" spans="2:9" x14ac:dyDescent="0.2">
      <c r="B44" s="128">
        <v>44573</v>
      </c>
      <c r="C44" s="127" t="s">
        <v>660</v>
      </c>
      <c r="D44" s="127">
        <v>-480</v>
      </c>
      <c r="E44" s="127" t="s">
        <v>662</v>
      </c>
      <c r="F44" s="127" t="s">
        <v>913</v>
      </c>
      <c r="G44" s="176"/>
      <c r="H44" s="131" t="s">
        <v>978</v>
      </c>
      <c r="I44" t="s">
        <v>1039</v>
      </c>
    </row>
    <row r="45" spans="2:9" x14ac:dyDescent="0.2">
      <c r="B45" s="128">
        <v>44573</v>
      </c>
      <c r="C45" s="127" t="s">
        <v>660</v>
      </c>
      <c r="D45" s="127">
        <v>630</v>
      </c>
      <c r="E45" s="127" t="s">
        <v>697</v>
      </c>
      <c r="F45" s="127" t="s">
        <v>700</v>
      </c>
      <c r="G45" s="132" t="s">
        <v>482</v>
      </c>
      <c r="H45" s="46" t="s">
        <v>968</v>
      </c>
      <c r="I45" t="s">
        <v>1041</v>
      </c>
    </row>
    <row r="46" spans="2:9" x14ac:dyDescent="0.2">
      <c r="B46" s="128">
        <v>44573</v>
      </c>
      <c r="C46" s="127" t="s">
        <v>660</v>
      </c>
      <c r="D46" s="127">
        <v>-122.69</v>
      </c>
      <c r="E46" s="127" t="s">
        <v>672</v>
      </c>
      <c r="F46" s="127" t="s">
        <v>801</v>
      </c>
      <c r="G46" s="170"/>
      <c r="I46" t="s">
        <v>1040</v>
      </c>
    </row>
    <row r="47" spans="2:9" x14ac:dyDescent="0.2">
      <c r="B47" s="128">
        <v>44574</v>
      </c>
      <c r="C47" s="127" t="s">
        <v>660</v>
      </c>
      <c r="D47" s="127">
        <v>-51.93</v>
      </c>
      <c r="E47" s="127" t="s">
        <v>662</v>
      </c>
      <c r="F47" s="127" t="s">
        <v>914</v>
      </c>
      <c r="G47" s="177"/>
      <c r="H47" s="129" t="s">
        <v>976</v>
      </c>
      <c r="I47" t="s">
        <v>1039</v>
      </c>
    </row>
    <row r="48" spans="2:9" x14ac:dyDescent="0.2">
      <c r="B48" s="128">
        <v>44574</v>
      </c>
      <c r="C48" s="127" t="s">
        <v>660</v>
      </c>
      <c r="D48" s="127">
        <v>-2.75</v>
      </c>
      <c r="E48" s="127" t="s">
        <v>662</v>
      </c>
      <c r="F48" s="127" t="s">
        <v>915</v>
      </c>
      <c r="G48" s="176"/>
      <c r="H48" s="129" t="s">
        <v>976</v>
      </c>
      <c r="I48" t="s">
        <v>1039</v>
      </c>
    </row>
    <row r="49" spans="2:9" x14ac:dyDescent="0.2">
      <c r="B49" s="128">
        <v>44574</v>
      </c>
      <c r="C49" s="127" t="s">
        <v>660</v>
      </c>
      <c r="D49" s="127">
        <v>-3</v>
      </c>
      <c r="E49" s="127" t="s">
        <v>662</v>
      </c>
      <c r="F49" s="127" t="s">
        <v>916</v>
      </c>
      <c r="G49" s="176"/>
      <c r="H49" s="129" t="s">
        <v>976</v>
      </c>
      <c r="I49" t="s">
        <v>1039</v>
      </c>
    </row>
    <row r="50" spans="2:9" x14ac:dyDescent="0.2">
      <c r="B50" s="128">
        <v>44574</v>
      </c>
      <c r="C50" s="127" t="s">
        <v>660</v>
      </c>
      <c r="D50" s="127">
        <v>-829.2</v>
      </c>
      <c r="E50" s="127" t="s">
        <v>662</v>
      </c>
      <c r="F50" s="127" t="s">
        <v>917</v>
      </c>
      <c r="G50" s="51" t="s">
        <v>471</v>
      </c>
      <c r="H50" s="127" t="s">
        <v>917</v>
      </c>
      <c r="I50" t="s">
        <v>1038</v>
      </c>
    </row>
    <row r="51" spans="2:9" x14ac:dyDescent="0.2">
      <c r="B51" s="128">
        <v>44574</v>
      </c>
      <c r="C51" s="127" t="s">
        <v>660</v>
      </c>
      <c r="D51" s="127">
        <v>420.97</v>
      </c>
      <c r="E51" s="127" t="s">
        <v>691</v>
      </c>
      <c r="F51" s="127" t="s">
        <v>717</v>
      </c>
      <c r="G51" s="172"/>
      <c r="H51" s="129"/>
      <c r="I51" t="s">
        <v>1039</v>
      </c>
    </row>
    <row r="52" spans="2:9" x14ac:dyDescent="0.2">
      <c r="B52" s="128">
        <v>44574</v>
      </c>
      <c r="C52" s="127" t="s">
        <v>660</v>
      </c>
      <c r="D52" s="127">
        <v>100.4</v>
      </c>
      <c r="E52" s="127" t="s">
        <v>691</v>
      </c>
      <c r="F52" s="127" t="s">
        <v>712</v>
      </c>
      <c r="G52" s="171"/>
      <c r="H52" s="129"/>
      <c r="I52" t="s">
        <v>1039</v>
      </c>
    </row>
    <row r="53" spans="2:9" x14ac:dyDescent="0.2">
      <c r="B53" s="128">
        <v>44574</v>
      </c>
      <c r="C53" s="127" t="s">
        <v>660</v>
      </c>
      <c r="D53" s="127">
        <v>99.96</v>
      </c>
      <c r="E53" s="127" t="s">
        <v>691</v>
      </c>
      <c r="F53" s="127" t="s">
        <v>716</v>
      </c>
      <c r="G53" s="172"/>
      <c r="H53" s="129"/>
      <c r="I53" t="s">
        <v>1039</v>
      </c>
    </row>
    <row r="54" spans="2:9" x14ac:dyDescent="0.2">
      <c r="B54" s="128">
        <v>44574</v>
      </c>
      <c r="C54" s="127" t="s">
        <v>660</v>
      </c>
      <c r="D54" s="127">
        <v>416.76</v>
      </c>
      <c r="E54" s="127" t="s">
        <v>691</v>
      </c>
      <c r="F54" s="127" t="s">
        <v>694</v>
      </c>
      <c r="G54" s="171"/>
      <c r="H54" s="129"/>
      <c r="I54" t="s">
        <v>1039</v>
      </c>
    </row>
    <row r="55" spans="2:9" x14ac:dyDescent="0.2">
      <c r="B55" s="128">
        <v>44574</v>
      </c>
      <c r="C55" s="127" t="s">
        <v>660</v>
      </c>
      <c r="D55" s="127">
        <v>265.02</v>
      </c>
      <c r="E55" s="127" t="s">
        <v>691</v>
      </c>
      <c r="F55" s="127" t="s">
        <v>699</v>
      </c>
      <c r="G55" s="171"/>
      <c r="H55" s="129"/>
      <c r="I55" t="s">
        <v>1039</v>
      </c>
    </row>
    <row r="56" spans="2:9" x14ac:dyDescent="0.2">
      <c r="B56" s="128">
        <v>44574</v>
      </c>
      <c r="C56" s="127" t="s">
        <v>660</v>
      </c>
      <c r="D56" s="127">
        <v>495</v>
      </c>
      <c r="E56" s="127" t="s">
        <v>697</v>
      </c>
      <c r="F56" s="127" t="s">
        <v>703</v>
      </c>
      <c r="G56" s="132" t="s">
        <v>467</v>
      </c>
      <c r="H56" s="46" t="s">
        <v>969</v>
      </c>
      <c r="I56" t="s">
        <v>1041</v>
      </c>
    </row>
    <row r="57" spans="2:9" x14ac:dyDescent="0.2">
      <c r="B57" s="128">
        <v>44575</v>
      </c>
      <c r="C57" s="127" t="s">
        <v>660</v>
      </c>
      <c r="D57" s="127">
        <v>-42.63</v>
      </c>
      <c r="E57" s="127" t="s">
        <v>662</v>
      </c>
      <c r="F57" s="127" t="s">
        <v>918</v>
      </c>
      <c r="G57" s="177"/>
      <c r="H57" s="129" t="s">
        <v>976</v>
      </c>
      <c r="I57" t="s">
        <v>1039</v>
      </c>
    </row>
    <row r="58" spans="2:9" x14ac:dyDescent="0.2">
      <c r="B58" s="128">
        <v>44575</v>
      </c>
      <c r="C58" s="127" t="s">
        <v>660</v>
      </c>
      <c r="D58" s="127">
        <v>-16.989999999999998</v>
      </c>
      <c r="E58" s="127" t="s">
        <v>662</v>
      </c>
      <c r="F58" s="127" t="s">
        <v>919</v>
      </c>
      <c r="G58" s="177"/>
      <c r="H58" s="129" t="s">
        <v>976</v>
      </c>
      <c r="I58" t="s">
        <v>1039</v>
      </c>
    </row>
    <row r="59" spans="2:9" x14ac:dyDescent="0.2">
      <c r="B59" s="128">
        <v>44575</v>
      </c>
      <c r="C59" s="127" t="s">
        <v>660</v>
      </c>
      <c r="D59" s="127">
        <v>-69</v>
      </c>
      <c r="E59" s="127" t="s">
        <v>662</v>
      </c>
      <c r="F59" s="127" t="s">
        <v>920</v>
      </c>
      <c r="G59" s="132" t="s">
        <v>484</v>
      </c>
      <c r="H59" s="127" t="s">
        <v>920</v>
      </c>
      <c r="I59" t="s">
        <v>1038</v>
      </c>
    </row>
    <row r="60" spans="2:9" x14ac:dyDescent="0.2">
      <c r="B60" s="128">
        <v>44575</v>
      </c>
      <c r="C60" s="127" t="s">
        <v>660</v>
      </c>
      <c r="D60" s="127">
        <v>-500</v>
      </c>
      <c r="E60" s="127" t="s">
        <v>661</v>
      </c>
      <c r="F60" s="127" t="s">
        <v>714</v>
      </c>
      <c r="G60" s="176"/>
      <c r="H60" s="131" t="s">
        <v>976</v>
      </c>
      <c r="I60" t="s">
        <v>1039</v>
      </c>
    </row>
    <row r="61" spans="2:9" x14ac:dyDescent="0.2">
      <c r="B61" s="128">
        <v>44575</v>
      </c>
      <c r="C61" s="127" t="s">
        <v>660</v>
      </c>
      <c r="D61" s="127">
        <v>452</v>
      </c>
      <c r="E61" s="127" t="s">
        <v>691</v>
      </c>
      <c r="F61" s="127" t="s">
        <v>705</v>
      </c>
      <c r="G61" s="172"/>
      <c r="H61" s="129"/>
      <c r="I61" t="s">
        <v>1039</v>
      </c>
    </row>
    <row r="62" spans="2:9" x14ac:dyDescent="0.2">
      <c r="B62" s="128">
        <v>44575</v>
      </c>
      <c r="C62" s="127" t="s">
        <v>660</v>
      </c>
      <c r="D62" s="127">
        <v>314.60000000000002</v>
      </c>
      <c r="E62" s="127" t="s">
        <v>691</v>
      </c>
      <c r="F62" s="127" t="s">
        <v>702</v>
      </c>
      <c r="G62" s="172"/>
      <c r="H62" s="131"/>
      <c r="I62" t="s">
        <v>1039</v>
      </c>
    </row>
    <row r="63" spans="2:9" x14ac:dyDescent="0.2">
      <c r="B63" s="128">
        <v>44575</v>
      </c>
      <c r="C63" s="127" t="s">
        <v>660</v>
      </c>
      <c r="D63" s="127">
        <v>56.65</v>
      </c>
      <c r="E63" s="127" t="s">
        <v>691</v>
      </c>
      <c r="F63" s="127" t="s">
        <v>711</v>
      </c>
      <c r="G63" s="171"/>
      <c r="H63" s="129"/>
      <c r="I63" t="s">
        <v>1039</v>
      </c>
    </row>
    <row r="64" spans="2:9" x14ac:dyDescent="0.2">
      <c r="B64" s="128">
        <v>44578</v>
      </c>
      <c r="C64" s="127" t="s">
        <v>660</v>
      </c>
      <c r="D64" s="127">
        <v>-1650</v>
      </c>
      <c r="E64" s="127" t="s">
        <v>662</v>
      </c>
      <c r="F64" s="127" t="s">
        <v>921</v>
      </c>
      <c r="G64" s="51" t="s">
        <v>492</v>
      </c>
      <c r="H64" s="127" t="s">
        <v>921</v>
      </c>
      <c r="I64" t="s">
        <v>1038</v>
      </c>
    </row>
    <row r="65" spans="2:9" x14ac:dyDescent="0.2">
      <c r="B65" s="128">
        <v>44578</v>
      </c>
      <c r="C65" s="127" t="s">
        <v>660</v>
      </c>
      <c r="D65" s="127">
        <v>497.8</v>
      </c>
      <c r="E65" s="127" t="s">
        <v>691</v>
      </c>
      <c r="F65" s="127" t="s">
        <v>709</v>
      </c>
      <c r="G65" s="172"/>
      <c r="H65" s="129"/>
      <c r="I65" t="s">
        <v>1039</v>
      </c>
    </row>
    <row r="66" spans="2:9" x14ac:dyDescent="0.2">
      <c r="B66" s="128">
        <v>44578</v>
      </c>
      <c r="C66" s="127" t="s">
        <v>660</v>
      </c>
      <c r="D66" s="127">
        <v>-184.81</v>
      </c>
      <c r="E66" s="127" t="s">
        <v>672</v>
      </c>
      <c r="F66" s="127" t="s">
        <v>707</v>
      </c>
      <c r="G66" s="170"/>
      <c r="H66" s="129"/>
      <c r="I66" t="s">
        <v>1040</v>
      </c>
    </row>
    <row r="67" spans="2:9" x14ac:dyDescent="0.2">
      <c r="B67" s="128">
        <v>44578</v>
      </c>
      <c r="C67" s="127" t="s">
        <v>660</v>
      </c>
      <c r="D67" s="127">
        <v>-155.44</v>
      </c>
      <c r="E67" s="127" t="s">
        <v>672</v>
      </c>
      <c r="F67" s="127" t="s">
        <v>708</v>
      </c>
      <c r="G67" s="169"/>
      <c r="H67" s="131"/>
      <c r="I67" t="s">
        <v>1040</v>
      </c>
    </row>
    <row r="68" spans="2:9" x14ac:dyDescent="0.2">
      <c r="B68" s="128">
        <v>44578</v>
      </c>
      <c r="C68" s="127" t="s">
        <v>660</v>
      </c>
      <c r="D68" s="127">
        <v>-366.23</v>
      </c>
      <c r="E68" s="127" t="s">
        <v>672</v>
      </c>
      <c r="F68" s="127" t="s">
        <v>706</v>
      </c>
      <c r="G68" s="169"/>
      <c r="H68" s="129"/>
      <c r="I68" t="s">
        <v>1039</v>
      </c>
    </row>
    <row r="69" spans="2:9" x14ac:dyDescent="0.2">
      <c r="B69" s="128">
        <v>44578</v>
      </c>
      <c r="C69" s="127" t="s">
        <v>660</v>
      </c>
      <c r="D69" s="127">
        <v>-150.63</v>
      </c>
      <c r="E69" s="127" t="s">
        <v>672</v>
      </c>
      <c r="F69" s="127" t="s">
        <v>793</v>
      </c>
      <c r="G69" s="169"/>
      <c r="H69" s="129"/>
      <c r="I69" t="s">
        <v>1040</v>
      </c>
    </row>
    <row r="70" spans="2:9" x14ac:dyDescent="0.2">
      <c r="B70" s="128">
        <v>44578</v>
      </c>
      <c r="C70" s="127" t="s">
        <v>660</v>
      </c>
      <c r="D70" s="127">
        <v>-12.34</v>
      </c>
      <c r="E70" s="127" t="s">
        <v>672</v>
      </c>
      <c r="F70" s="127" t="s">
        <v>794</v>
      </c>
      <c r="G70" s="169"/>
      <c r="H70" s="131"/>
      <c r="I70" t="s">
        <v>1040</v>
      </c>
    </row>
    <row r="71" spans="2:9" x14ac:dyDescent="0.2">
      <c r="B71" s="128">
        <v>44578</v>
      </c>
      <c r="C71" s="127" t="s">
        <v>660</v>
      </c>
      <c r="D71" s="127">
        <v>11.99</v>
      </c>
      <c r="E71" s="127" t="s">
        <v>679</v>
      </c>
      <c r="F71" s="127" t="s">
        <v>922</v>
      </c>
      <c r="G71" s="168"/>
      <c r="H71" s="129" t="s">
        <v>995</v>
      </c>
      <c r="I71" t="s">
        <v>1039</v>
      </c>
    </row>
    <row r="72" spans="2:9" x14ac:dyDescent="0.2">
      <c r="B72" s="128">
        <v>44578</v>
      </c>
      <c r="C72" s="127" t="s">
        <v>660</v>
      </c>
      <c r="D72" s="127">
        <v>700</v>
      </c>
      <c r="E72" s="127" t="s">
        <v>661</v>
      </c>
      <c r="F72" s="127" t="s">
        <v>704</v>
      </c>
      <c r="G72" s="132" t="s">
        <v>483</v>
      </c>
      <c r="H72" s="46" t="s">
        <v>974</v>
      </c>
      <c r="I72" t="s">
        <v>1041</v>
      </c>
    </row>
    <row r="73" spans="2:9" x14ac:dyDescent="0.2">
      <c r="B73" s="128">
        <v>44578</v>
      </c>
      <c r="C73" s="127" t="s">
        <v>660</v>
      </c>
      <c r="D73" s="127">
        <v>500</v>
      </c>
      <c r="E73" s="127" t="s">
        <v>661</v>
      </c>
      <c r="F73" s="127" t="s">
        <v>701</v>
      </c>
      <c r="G73" s="132" t="s">
        <v>472</v>
      </c>
      <c r="H73" s="46" t="s">
        <v>972</v>
      </c>
      <c r="I73" t="s">
        <v>1041</v>
      </c>
    </row>
    <row r="74" spans="2:9" x14ac:dyDescent="0.2">
      <c r="B74" s="128">
        <v>44579</v>
      </c>
      <c r="C74" s="127" t="s">
        <v>660</v>
      </c>
      <c r="D74" s="127">
        <v>550</v>
      </c>
      <c r="E74" s="127" t="s">
        <v>691</v>
      </c>
      <c r="F74" s="127" t="s">
        <v>710</v>
      </c>
      <c r="G74" s="132" t="s">
        <v>553</v>
      </c>
      <c r="H74" s="46" t="s">
        <v>965</v>
      </c>
      <c r="I74" t="s">
        <v>1041</v>
      </c>
    </row>
    <row r="75" spans="2:9" x14ac:dyDescent="0.2">
      <c r="B75" s="128">
        <v>44579</v>
      </c>
      <c r="C75" s="127" t="s">
        <v>660</v>
      </c>
      <c r="D75" s="127">
        <v>316.33999999999997</v>
      </c>
      <c r="E75" s="127" t="s">
        <v>691</v>
      </c>
      <c r="F75" s="127" t="s">
        <v>712</v>
      </c>
      <c r="G75" s="171"/>
      <c r="H75" s="129"/>
      <c r="I75" t="s">
        <v>1039</v>
      </c>
    </row>
    <row r="76" spans="2:9" x14ac:dyDescent="0.2">
      <c r="B76" s="128">
        <v>44579</v>
      </c>
      <c r="C76" s="127" t="s">
        <v>660</v>
      </c>
      <c r="D76" s="127">
        <v>317.85000000000002</v>
      </c>
      <c r="E76" s="127" t="s">
        <v>691</v>
      </c>
      <c r="F76" s="127" t="s">
        <v>711</v>
      </c>
      <c r="G76" s="171"/>
      <c r="H76" s="129"/>
      <c r="I76" t="s">
        <v>1039</v>
      </c>
    </row>
    <row r="77" spans="2:9" x14ac:dyDescent="0.2">
      <c r="B77" s="128">
        <v>44579</v>
      </c>
      <c r="C77" s="127" t="s">
        <v>660</v>
      </c>
      <c r="D77" s="127">
        <v>-125.25</v>
      </c>
      <c r="E77" s="127" t="s">
        <v>672</v>
      </c>
      <c r="F77" s="127" t="s">
        <v>795</v>
      </c>
      <c r="G77" s="170"/>
      <c r="H77" s="129"/>
      <c r="I77" t="s">
        <v>1040</v>
      </c>
    </row>
    <row r="78" spans="2:9" x14ac:dyDescent="0.2">
      <c r="B78" s="128">
        <v>44580</v>
      </c>
      <c r="C78" s="127" t="s">
        <v>660</v>
      </c>
      <c r="D78" s="127">
        <v>-24</v>
      </c>
      <c r="E78" s="127" t="s">
        <v>662</v>
      </c>
      <c r="F78" s="129" t="s">
        <v>923</v>
      </c>
      <c r="G78" s="132" t="s">
        <v>992</v>
      </c>
      <c r="H78" s="129" t="s">
        <v>993</v>
      </c>
      <c r="I78" t="s">
        <v>1038</v>
      </c>
    </row>
    <row r="79" spans="2:9" x14ac:dyDescent="0.2">
      <c r="B79" s="128">
        <v>44580</v>
      </c>
      <c r="C79" s="127" t="s">
        <v>660</v>
      </c>
      <c r="D79" s="127">
        <v>-20.32</v>
      </c>
      <c r="E79" s="127" t="s">
        <v>662</v>
      </c>
      <c r="F79" s="127" t="s">
        <v>924</v>
      </c>
      <c r="G79" s="51" t="s">
        <v>497</v>
      </c>
      <c r="H79" s="131" t="s">
        <v>998</v>
      </c>
      <c r="I79" t="s">
        <v>1038</v>
      </c>
    </row>
    <row r="80" spans="2:9" x14ac:dyDescent="0.2">
      <c r="B80" s="128">
        <v>44580</v>
      </c>
      <c r="C80" s="127" t="s">
        <v>660</v>
      </c>
      <c r="D80" s="127">
        <v>-22.15</v>
      </c>
      <c r="E80" s="127" t="s">
        <v>672</v>
      </c>
      <c r="F80" s="127" t="s">
        <v>713</v>
      </c>
      <c r="G80" s="177"/>
      <c r="H80" s="129" t="s">
        <v>976</v>
      </c>
      <c r="I80" t="s">
        <v>1039</v>
      </c>
    </row>
    <row r="81" spans="2:9" x14ac:dyDescent="0.2">
      <c r="B81" s="128">
        <v>44581</v>
      </c>
      <c r="C81" s="127" t="s">
        <v>660</v>
      </c>
      <c r="D81" s="127">
        <v>-11.98</v>
      </c>
      <c r="E81" s="127" t="s">
        <v>662</v>
      </c>
      <c r="F81" s="127" t="s">
        <v>925</v>
      </c>
      <c r="G81" s="51" t="s">
        <v>497</v>
      </c>
      <c r="H81" s="131" t="s">
        <v>999</v>
      </c>
      <c r="I81" t="s">
        <v>1038</v>
      </c>
    </row>
    <row r="82" spans="2:9" x14ac:dyDescent="0.2">
      <c r="B82" s="128">
        <v>44581</v>
      </c>
      <c r="C82" s="127" t="s">
        <v>660</v>
      </c>
      <c r="D82" s="127">
        <v>-19.38</v>
      </c>
      <c r="E82" s="127" t="s">
        <v>662</v>
      </c>
      <c r="F82" s="127" t="s">
        <v>926</v>
      </c>
      <c r="G82" s="53" t="s">
        <v>497</v>
      </c>
      <c r="H82" s="131" t="s">
        <v>997</v>
      </c>
      <c r="I82" t="s">
        <v>1038</v>
      </c>
    </row>
    <row r="83" spans="2:9" x14ac:dyDescent="0.2">
      <c r="B83" s="128">
        <v>44581</v>
      </c>
      <c r="C83" s="127" t="s">
        <v>660</v>
      </c>
      <c r="D83" s="127">
        <v>-600</v>
      </c>
      <c r="E83" s="127" t="s">
        <v>661</v>
      </c>
      <c r="F83" s="127" t="s">
        <v>714</v>
      </c>
      <c r="G83" s="176"/>
      <c r="H83" s="131" t="s">
        <v>976</v>
      </c>
      <c r="I83" t="s">
        <v>1039</v>
      </c>
    </row>
    <row r="84" spans="2:9" x14ac:dyDescent="0.2">
      <c r="B84" s="128">
        <v>44582</v>
      </c>
      <c r="C84" s="127" t="s">
        <v>660</v>
      </c>
      <c r="D84" s="127">
        <v>-96</v>
      </c>
      <c r="E84" s="127" t="s">
        <v>661</v>
      </c>
      <c r="F84" s="127" t="s">
        <v>927</v>
      </c>
      <c r="G84" s="151"/>
      <c r="H84" s="131" t="s">
        <v>977</v>
      </c>
      <c r="I84" t="s">
        <v>1039</v>
      </c>
    </row>
    <row r="85" spans="2:9" x14ac:dyDescent="0.2">
      <c r="B85" s="128">
        <v>44582</v>
      </c>
      <c r="C85" s="127" t="s">
        <v>660</v>
      </c>
      <c r="D85" s="127">
        <v>1015</v>
      </c>
      <c r="E85" s="127" t="s">
        <v>661</v>
      </c>
      <c r="F85" s="127" t="s">
        <v>928</v>
      </c>
      <c r="G85" s="51" t="s">
        <v>500</v>
      </c>
      <c r="H85" s="129" t="s">
        <v>994</v>
      </c>
      <c r="I85" t="s">
        <v>1038</v>
      </c>
    </row>
    <row r="86" spans="2:9" x14ac:dyDescent="0.2">
      <c r="B86" s="128">
        <v>44582</v>
      </c>
      <c r="C86" s="127" t="s">
        <v>660</v>
      </c>
      <c r="D86" s="127">
        <v>-15</v>
      </c>
      <c r="E86" s="127" t="s">
        <v>662</v>
      </c>
      <c r="F86" s="127" t="s">
        <v>798</v>
      </c>
      <c r="G86" s="51" t="s">
        <v>500</v>
      </c>
      <c r="H86" s="127" t="s">
        <v>798</v>
      </c>
      <c r="I86" t="s">
        <v>1038</v>
      </c>
    </row>
    <row r="87" spans="2:9" x14ac:dyDescent="0.2">
      <c r="B87" s="128">
        <v>44583</v>
      </c>
      <c r="C87" s="127" t="s">
        <v>660</v>
      </c>
      <c r="D87" s="127">
        <v>880</v>
      </c>
      <c r="E87" s="129" t="s">
        <v>1009</v>
      </c>
      <c r="F87" s="129" t="s">
        <v>1008</v>
      </c>
      <c r="G87" s="51" t="s">
        <v>500</v>
      </c>
      <c r="H87" s="46" t="s">
        <v>1006</v>
      </c>
      <c r="I87" t="s">
        <v>1041</v>
      </c>
    </row>
    <row r="88" spans="2:9" x14ac:dyDescent="0.2">
      <c r="B88" s="128">
        <v>44583</v>
      </c>
      <c r="C88" s="127" t="s">
        <v>660</v>
      </c>
      <c r="D88" s="127">
        <v>-880</v>
      </c>
      <c r="E88" s="129" t="s">
        <v>1009</v>
      </c>
      <c r="F88" s="129" t="s">
        <v>1008</v>
      </c>
      <c r="G88" s="51" t="s">
        <v>500</v>
      </c>
      <c r="H88" s="129" t="s">
        <v>1007</v>
      </c>
      <c r="I88" t="s">
        <v>1038</v>
      </c>
    </row>
    <row r="89" spans="2:9" x14ac:dyDescent="0.2">
      <c r="B89" s="128">
        <v>44585</v>
      </c>
      <c r="C89" s="127" t="s">
        <v>660</v>
      </c>
      <c r="D89" s="127">
        <v>-66</v>
      </c>
      <c r="E89" s="127" t="s">
        <v>662</v>
      </c>
      <c r="F89" s="127" t="s">
        <v>929</v>
      </c>
      <c r="G89" s="51" t="s">
        <v>500</v>
      </c>
      <c r="H89" s="127" t="s">
        <v>929</v>
      </c>
      <c r="I89" t="s">
        <v>1038</v>
      </c>
    </row>
    <row r="90" spans="2:9" x14ac:dyDescent="0.2">
      <c r="B90" s="128">
        <v>44585</v>
      </c>
      <c r="C90" s="127" t="s">
        <v>660</v>
      </c>
      <c r="D90" s="127">
        <v>22.15</v>
      </c>
      <c r="E90" s="127" t="s">
        <v>691</v>
      </c>
      <c r="F90" s="127" t="s">
        <v>930</v>
      </c>
      <c r="G90" s="177"/>
      <c r="H90" s="129" t="s">
        <v>976</v>
      </c>
      <c r="I90" t="s">
        <v>1039</v>
      </c>
    </row>
    <row r="91" spans="2:9" x14ac:dyDescent="0.2">
      <c r="B91" s="128">
        <v>44585</v>
      </c>
      <c r="C91" s="127" t="s">
        <v>660</v>
      </c>
      <c r="D91" s="127">
        <v>316.79000000000002</v>
      </c>
      <c r="E91" s="127" t="s">
        <v>691</v>
      </c>
      <c r="F91" s="129" t="s">
        <v>716</v>
      </c>
      <c r="G91" s="173"/>
      <c r="H91" s="129"/>
      <c r="I91" t="s">
        <v>1039</v>
      </c>
    </row>
    <row r="92" spans="2:9" x14ac:dyDescent="0.2">
      <c r="B92" s="128">
        <v>44585</v>
      </c>
      <c r="C92" s="127" t="s">
        <v>660</v>
      </c>
      <c r="D92" s="127">
        <v>-156.88999999999999</v>
      </c>
      <c r="E92" s="127" t="s">
        <v>672</v>
      </c>
      <c r="F92" s="127" t="s">
        <v>796</v>
      </c>
      <c r="G92" s="169"/>
      <c r="H92" s="129"/>
      <c r="I92" t="s">
        <v>1040</v>
      </c>
    </row>
    <row r="93" spans="2:9" x14ac:dyDescent="0.2">
      <c r="B93" s="128">
        <v>44585</v>
      </c>
      <c r="C93" s="127" t="s">
        <v>660</v>
      </c>
      <c r="D93" s="127">
        <v>-92</v>
      </c>
      <c r="E93" s="127" t="s">
        <v>662</v>
      </c>
      <c r="F93" s="127" t="s">
        <v>931</v>
      </c>
      <c r="G93" s="177"/>
      <c r="H93" s="129" t="s">
        <v>976</v>
      </c>
      <c r="I93" t="s">
        <v>1039</v>
      </c>
    </row>
    <row r="94" spans="2:9" x14ac:dyDescent="0.2">
      <c r="B94" s="128">
        <v>44585</v>
      </c>
      <c r="C94" s="127" t="s">
        <v>660</v>
      </c>
      <c r="D94" s="127">
        <v>-55</v>
      </c>
      <c r="E94" s="127" t="s">
        <v>662</v>
      </c>
      <c r="F94" s="127" t="s">
        <v>931</v>
      </c>
      <c r="G94" s="176"/>
      <c r="H94" s="129" t="s">
        <v>976</v>
      </c>
      <c r="I94" t="s">
        <v>1039</v>
      </c>
    </row>
    <row r="95" spans="2:9" x14ac:dyDescent="0.2">
      <c r="B95" s="128">
        <v>44586</v>
      </c>
      <c r="C95" s="127" t="s">
        <v>660</v>
      </c>
      <c r="D95" s="127">
        <v>695</v>
      </c>
      <c r="E95" s="127" t="s">
        <v>691</v>
      </c>
      <c r="F95" s="127" t="s">
        <v>802</v>
      </c>
      <c r="G95" s="132" t="s">
        <v>484</v>
      </c>
      <c r="H95" s="46" t="s">
        <v>964</v>
      </c>
      <c r="I95" t="s">
        <v>1041</v>
      </c>
    </row>
    <row r="96" spans="2:9" x14ac:dyDescent="0.2">
      <c r="B96" s="128">
        <v>44586</v>
      </c>
      <c r="C96" s="127" t="s">
        <v>660</v>
      </c>
      <c r="D96" s="127">
        <v>-31.15</v>
      </c>
      <c r="E96" s="127" t="s">
        <v>662</v>
      </c>
      <c r="F96" s="127" t="s">
        <v>932</v>
      </c>
      <c r="G96" s="177"/>
      <c r="H96" s="129" t="s">
        <v>976</v>
      </c>
      <c r="I96" t="s">
        <v>1039</v>
      </c>
    </row>
    <row r="97" spans="2:9" x14ac:dyDescent="0.2">
      <c r="B97" s="128">
        <v>44586</v>
      </c>
      <c r="C97" s="127" t="s">
        <v>660</v>
      </c>
      <c r="D97" s="127">
        <v>-6.23</v>
      </c>
      <c r="E97" s="127" t="s">
        <v>662</v>
      </c>
      <c r="F97" s="127" t="s">
        <v>933</v>
      </c>
      <c r="G97" s="177"/>
      <c r="H97" s="129" t="s">
        <v>976</v>
      </c>
      <c r="I97" t="s">
        <v>1039</v>
      </c>
    </row>
    <row r="98" spans="2:9" x14ac:dyDescent="0.2">
      <c r="B98" s="128">
        <v>44586</v>
      </c>
      <c r="C98" s="127" t="s">
        <v>660</v>
      </c>
      <c r="D98" s="127">
        <v>-199.99</v>
      </c>
      <c r="E98" s="127" t="s">
        <v>662</v>
      </c>
      <c r="F98" s="127" t="s">
        <v>934</v>
      </c>
      <c r="G98" s="132" t="s">
        <v>497</v>
      </c>
      <c r="H98" s="131" t="s">
        <v>1000</v>
      </c>
      <c r="I98" t="s">
        <v>1038</v>
      </c>
    </row>
    <row r="99" spans="2:9" x14ac:dyDescent="0.2">
      <c r="B99" s="128">
        <v>44586</v>
      </c>
      <c r="C99" s="127" t="s">
        <v>660</v>
      </c>
      <c r="D99" s="127">
        <v>-37.56</v>
      </c>
      <c r="E99" s="127" t="s">
        <v>662</v>
      </c>
      <c r="F99" s="127" t="s">
        <v>934</v>
      </c>
      <c r="G99" s="51" t="s">
        <v>497</v>
      </c>
      <c r="H99" s="127" t="s">
        <v>934</v>
      </c>
      <c r="I99" t="s">
        <v>1038</v>
      </c>
    </row>
    <row r="100" spans="2:9" x14ac:dyDescent="0.2">
      <c r="B100" s="128">
        <v>44587</v>
      </c>
      <c r="C100" s="127" t="s">
        <v>660</v>
      </c>
      <c r="D100" s="127">
        <v>-500</v>
      </c>
      <c r="E100" s="127" t="s">
        <v>661</v>
      </c>
      <c r="F100" s="127" t="s">
        <v>714</v>
      </c>
      <c r="G100" s="177"/>
      <c r="H100" s="129" t="s">
        <v>976</v>
      </c>
      <c r="I100" t="s">
        <v>1039</v>
      </c>
    </row>
    <row r="101" spans="2:9" x14ac:dyDescent="0.2">
      <c r="B101" s="128">
        <v>44587</v>
      </c>
      <c r="C101" s="127" t="s">
        <v>660</v>
      </c>
      <c r="D101" s="127">
        <v>-20.39</v>
      </c>
      <c r="E101" s="127" t="s">
        <v>672</v>
      </c>
      <c r="F101" s="127" t="s">
        <v>713</v>
      </c>
      <c r="G101" s="132" t="s">
        <v>496</v>
      </c>
      <c r="H101" s="129" t="s">
        <v>1005</v>
      </c>
      <c r="I101" t="s">
        <v>1038</v>
      </c>
    </row>
    <row r="102" spans="2:9" x14ac:dyDescent="0.2">
      <c r="B102" s="128">
        <v>44587</v>
      </c>
      <c r="C102" s="127" t="s">
        <v>660</v>
      </c>
      <c r="D102" s="127">
        <v>-0.18</v>
      </c>
      <c r="E102" s="127" t="s">
        <v>672</v>
      </c>
      <c r="F102" s="127" t="s">
        <v>713</v>
      </c>
      <c r="G102" s="177"/>
      <c r="H102" s="129" t="s">
        <v>976</v>
      </c>
      <c r="I102" t="s">
        <v>1039</v>
      </c>
    </row>
    <row r="103" spans="2:9" x14ac:dyDescent="0.2">
      <c r="B103" s="128">
        <v>44588</v>
      </c>
      <c r="C103" s="127" t="s">
        <v>660</v>
      </c>
      <c r="D103" s="127">
        <v>-29.54</v>
      </c>
      <c r="E103" s="127" t="s">
        <v>662</v>
      </c>
      <c r="F103" s="127" t="s">
        <v>935</v>
      </c>
      <c r="G103" s="177"/>
      <c r="H103" s="129" t="s">
        <v>976</v>
      </c>
      <c r="I103" t="s">
        <v>1039</v>
      </c>
    </row>
    <row r="104" spans="2:9" x14ac:dyDescent="0.2">
      <c r="B104" s="128">
        <v>44588</v>
      </c>
      <c r="C104" s="127" t="s">
        <v>660</v>
      </c>
      <c r="D104" s="127">
        <v>-6</v>
      </c>
      <c r="E104" s="127" t="s">
        <v>662</v>
      </c>
      <c r="F104" s="127" t="s">
        <v>936</v>
      </c>
      <c r="G104" s="176"/>
      <c r="H104" s="129" t="s">
        <v>976</v>
      </c>
      <c r="I104" t="s">
        <v>1039</v>
      </c>
    </row>
    <row r="105" spans="2:9" x14ac:dyDescent="0.2">
      <c r="B105" s="128">
        <v>44588</v>
      </c>
      <c r="C105" s="127" t="s">
        <v>660</v>
      </c>
      <c r="D105" s="127">
        <v>-9.99</v>
      </c>
      <c r="E105" s="127" t="s">
        <v>662</v>
      </c>
      <c r="F105" s="127" t="s">
        <v>937</v>
      </c>
      <c r="G105" s="176"/>
      <c r="H105" s="129" t="s">
        <v>976</v>
      </c>
      <c r="I105" t="s">
        <v>1039</v>
      </c>
    </row>
    <row r="106" spans="2:9" x14ac:dyDescent="0.2">
      <c r="B106" s="128">
        <v>44588</v>
      </c>
      <c r="C106" s="127" t="s">
        <v>660</v>
      </c>
      <c r="D106" s="127">
        <v>-1015</v>
      </c>
      <c r="E106" s="127" t="s">
        <v>662</v>
      </c>
      <c r="F106" s="127" t="s">
        <v>938</v>
      </c>
      <c r="G106" s="51" t="s">
        <v>500</v>
      </c>
      <c r="H106" s="129" t="s">
        <v>994</v>
      </c>
      <c r="I106" t="s">
        <v>1038</v>
      </c>
    </row>
    <row r="107" spans="2:9" x14ac:dyDescent="0.2">
      <c r="B107" s="128">
        <v>44588</v>
      </c>
      <c r="C107" s="127" t="s">
        <v>660</v>
      </c>
      <c r="D107" s="127">
        <v>-10.99</v>
      </c>
      <c r="E107" s="127" t="s">
        <v>662</v>
      </c>
      <c r="F107" s="127" t="s">
        <v>939</v>
      </c>
      <c r="G107" s="176"/>
      <c r="H107" s="129" t="s">
        <v>976</v>
      </c>
      <c r="I107" t="s">
        <v>1039</v>
      </c>
    </row>
    <row r="108" spans="2:9" x14ac:dyDescent="0.2">
      <c r="B108" s="128">
        <v>44588</v>
      </c>
      <c r="C108" s="127" t="s">
        <v>660</v>
      </c>
      <c r="D108" s="127">
        <v>-68.400000000000006</v>
      </c>
      <c r="E108" s="127" t="s">
        <v>662</v>
      </c>
      <c r="F108" s="127" t="s">
        <v>940</v>
      </c>
      <c r="G108" s="178"/>
      <c r="H108" s="129" t="s">
        <v>1001</v>
      </c>
      <c r="I108" t="s">
        <v>1039</v>
      </c>
    </row>
    <row r="109" spans="2:9" x14ac:dyDescent="0.2">
      <c r="B109" s="128">
        <v>44588</v>
      </c>
      <c r="C109" s="127" t="s">
        <v>660</v>
      </c>
      <c r="D109" s="127">
        <v>458</v>
      </c>
      <c r="E109" s="127" t="s">
        <v>691</v>
      </c>
      <c r="F109" s="127" t="s">
        <v>718</v>
      </c>
      <c r="G109" s="171"/>
      <c r="H109" s="129"/>
      <c r="I109" t="s">
        <v>1039</v>
      </c>
    </row>
    <row r="110" spans="2:9" x14ac:dyDescent="0.2">
      <c r="B110" s="128">
        <v>44589</v>
      </c>
      <c r="C110" s="127" t="s">
        <v>660</v>
      </c>
      <c r="D110" s="127">
        <v>650</v>
      </c>
      <c r="E110" s="127" t="s">
        <v>697</v>
      </c>
      <c r="F110" s="127" t="s">
        <v>720</v>
      </c>
      <c r="G110" s="132" t="s">
        <v>481</v>
      </c>
      <c r="H110" s="46" t="s">
        <v>970</v>
      </c>
      <c r="I110" t="s">
        <v>1041</v>
      </c>
    </row>
    <row r="111" spans="2:9" x14ac:dyDescent="0.2">
      <c r="B111" s="128">
        <v>44589</v>
      </c>
      <c r="C111" s="127" t="s">
        <v>660</v>
      </c>
      <c r="D111" s="127">
        <v>-12.99</v>
      </c>
      <c r="E111" s="127" t="s">
        <v>662</v>
      </c>
      <c r="F111" s="127" t="s">
        <v>941</v>
      </c>
      <c r="G111" s="132" t="s">
        <v>497</v>
      </c>
      <c r="H111" s="131" t="s">
        <v>1004</v>
      </c>
      <c r="I111" t="s">
        <v>1038</v>
      </c>
    </row>
    <row r="112" spans="2:9" x14ac:dyDescent="0.2">
      <c r="B112" s="128">
        <v>44589</v>
      </c>
      <c r="C112" s="127" t="s">
        <v>660</v>
      </c>
      <c r="D112" s="127">
        <v>-44.95</v>
      </c>
      <c r="E112" s="127" t="s">
        <v>662</v>
      </c>
      <c r="F112" s="127" t="s">
        <v>942</v>
      </c>
      <c r="G112" s="51" t="s">
        <v>497</v>
      </c>
      <c r="H112" s="131" t="s">
        <v>1003</v>
      </c>
      <c r="I112" t="s">
        <v>1038</v>
      </c>
    </row>
    <row r="113" spans="2:16" x14ac:dyDescent="0.2">
      <c r="B113" s="128">
        <v>44592</v>
      </c>
      <c r="C113" s="127" t="s">
        <v>660</v>
      </c>
      <c r="D113" s="127">
        <v>850</v>
      </c>
      <c r="E113" s="127" t="s">
        <v>661</v>
      </c>
      <c r="F113" s="127" t="s">
        <v>678</v>
      </c>
      <c r="G113" s="51" t="s">
        <v>494</v>
      </c>
      <c r="H113" s="46" t="s">
        <v>975</v>
      </c>
      <c r="I113" t="s">
        <v>1041</v>
      </c>
    </row>
    <row r="114" spans="2:16" x14ac:dyDescent="0.2">
      <c r="B114" s="128">
        <v>44592</v>
      </c>
      <c r="C114" s="127" t="s">
        <v>660</v>
      </c>
      <c r="D114" s="127">
        <v>50</v>
      </c>
      <c r="E114" s="127" t="s">
        <v>691</v>
      </c>
      <c r="F114" s="127" t="s">
        <v>943</v>
      </c>
      <c r="G114" s="132" t="s">
        <v>483</v>
      </c>
      <c r="H114" s="46" t="s">
        <v>973</v>
      </c>
      <c r="I114" t="s">
        <v>1041</v>
      </c>
    </row>
    <row r="115" spans="2:16" x14ac:dyDescent="0.2">
      <c r="B115" s="128">
        <v>44592</v>
      </c>
      <c r="C115" s="127" t="s">
        <v>660</v>
      </c>
      <c r="D115" s="127">
        <v>-79.67</v>
      </c>
      <c r="E115" s="127" t="s">
        <v>662</v>
      </c>
      <c r="F115" s="127" t="s">
        <v>944</v>
      </c>
      <c r="G115" s="176"/>
      <c r="H115" s="129" t="s">
        <v>1002</v>
      </c>
      <c r="I115" t="s">
        <v>1039</v>
      </c>
    </row>
    <row r="116" spans="2:16" x14ac:dyDescent="0.2">
      <c r="B116" s="128">
        <v>44592</v>
      </c>
      <c r="C116" s="127" t="s">
        <v>660</v>
      </c>
      <c r="D116" s="127">
        <v>50</v>
      </c>
      <c r="E116" s="127" t="s">
        <v>661</v>
      </c>
      <c r="F116" s="127" t="s">
        <v>704</v>
      </c>
      <c r="G116" s="132" t="s">
        <v>483</v>
      </c>
      <c r="H116" s="46" t="s">
        <v>973</v>
      </c>
      <c r="I116" t="s">
        <v>1041</v>
      </c>
    </row>
    <row r="117" spans="2:16" x14ac:dyDescent="0.2">
      <c r="B117" s="128">
        <v>44592</v>
      </c>
      <c r="C117" s="127" t="s">
        <v>660</v>
      </c>
      <c r="D117" s="127">
        <v>-240</v>
      </c>
      <c r="E117" s="127" t="s">
        <v>662</v>
      </c>
      <c r="F117" s="127" t="s">
        <v>945</v>
      </c>
      <c r="G117" s="51" t="s">
        <v>500</v>
      </c>
      <c r="H117" s="127" t="s">
        <v>945</v>
      </c>
      <c r="I117" t="s">
        <v>1038</v>
      </c>
    </row>
    <row r="118" spans="2:16" x14ac:dyDescent="0.2">
      <c r="B118" s="128">
        <v>44592</v>
      </c>
      <c r="C118" s="127" t="s">
        <v>660</v>
      </c>
      <c r="D118" s="127">
        <v>-66</v>
      </c>
      <c r="E118" s="127" t="s">
        <v>662</v>
      </c>
      <c r="F118" s="127" t="s">
        <v>946</v>
      </c>
      <c r="G118" s="132" t="s">
        <v>472</v>
      </c>
      <c r="H118" s="127" t="s">
        <v>946</v>
      </c>
      <c r="I118" t="s">
        <v>1038</v>
      </c>
    </row>
    <row r="119" spans="2:16" x14ac:dyDescent="0.2">
      <c r="B119" s="128">
        <v>44592</v>
      </c>
      <c r="C119" s="127" t="s">
        <v>660</v>
      </c>
      <c r="D119" s="127">
        <v>200</v>
      </c>
      <c r="E119" s="127" t="s">
        <v>691</v>
      </c>
      <c r="F119" s="127" t="s">
        <v>710</v>
      </c>
      <c r="G119" s="132" t="s">
        <v>553</v>
      </c>
      <c r="H119" s="46" t="s">
        <v>966</v>
      </c>
      <c r="I119" t="s">
        <v>1041</v>
      </c>
    </row>
    <row r="120" spans="2:16" x14ac:dyDescent="0.2">
      <c r="B120" s="128">
        <v>44592</v>
      </c>
      <c r="C120" s="127" t="s">
        <v>660</v>
      </c>
      <c r="D120" s="127">
        <v>-111.13</v>
      </c>
      <c r="E120" s="127" t="s">
        <v>672</v>
      </c>
      <c r="F120" s="127" t="s">
        <v>797</v>
      </c>
      <c r="G120" s="170"/>
      <c r="H120" s="129"/>
      <c r="I120" t="s">
        <v>1040</v>
      </c>
      <c r="J120" s="129"/>
    </row>
    <row r="121" spans="2:16" x14ac:dyDescent="0.2">
      <c r="B121" s="128">
        <v>44592</v>
      </c>
      <c r="C121" s="127" t="s">
        <v>660</v>
      </c>
      <c r="D121" s="127">
        <v>-160.18</v>
      </c>
      <c r="E121" s="127" t="s">
        <v>672</v>
      </c>
      <c r="F121" s="127" t="s">
        <v>947</v>
      </c>
      <c r="G121" s="170"/>
      <c r="H121" s="129"/>
      <c r="I121" t="s">
        <v>1040</v>
      </c>
      <c r="J121" s="129"/>
    </row>
    <row r="122" spans="2:16" x14ac:dyDescent="0.2">
      <c r="B122" s="128">
        <v>44592</v>
      </c>
      <c r="C122" s="127" t="s">
        <v>660</v>
      </c>
      <c r="D122" s="127">
        <v>-160.18</v>
      </c>
      <c r="E122" s="127" t="s">
        <v>672</v>
      </c>
      <c r="F122" s="127" t="s">
        <v>948</v>
      </c>
      <c r="G122" s="170"/>
      <c r="H122" s="129"/>
      <c r="I122" t="s">
        <v>1040</v>
      </c>
      <c r="J122" s="129"/>
    </row>
    <row r="123" spans="2:16" x14ac:dyDescent="0.2">
      <c r="B123" s="128">
        <v>44592</v>
      </c>
      <c r="C123" s="127" t="s">
        <v>660</v>
      </c>
      <c r="D123" s="127">
        <v>-160.18</v>
      </c>
      <c r="E123" s="127" t="s">
        <v>672</v>
      </c>
      <c r="F123" s="127" t="s">
        <v>949</v>
      </c>
      <c r="G123" s="169"/>
      <c r="H123" s="129"/>
      <c r="I123" t="s">
        <v>1040</v>
      </c>
    </row>
    <row r="124" spans="2:16" x14ac:dyDescent="0.2">
      <c r="B124" s="128">
        <v>44592</v>
      </c>
      <c r="C124" s="127" t="s">
        <v>660</v>
      </c>
      <c r="D124" s="127">
        <v>-152.09</v>
      </c>
      <c r="E124" s="127" t="s">
        <v>672</v>
      </c>
      <c r="F124" s="127" t="s">
        <v>950</v>
      </c>
      <c r="G124" s="170"/>
      <c r="H124" s="129"/>
      <c r="I124" t="s">
        <v>1040</v>
      </c>
      <c r="P124" s="129"/>
    </row>
    <row r="125" spans="2:16" x14ac:dyDescent="0.2">
      <c r="B125" s="128">
        <v>44592</v>
      </c>
      <c r="C125" s="127" t="s">
        <v>660</v>
      </c>
      <c r="D125" s="127">
        <v>-21.93</v>
      </c>
      <c r="E125" s="127" t="s">
        <v>672</v>
      </c>
      <c r="F125" s="127" t="s">
        <v>951</v>
      </c>
      <c r="G125" s="170"/>
      <c r="H125" s="129"/>
      <c r="I125" t="s">
        <v>1039</v>
      </c>
    </row>
    <row r="126" spans="2:16" x14ac:dyDescent="0.2">
      <c r="B126" s="128">
        <v>44592</v>
      </c>
      <c r="C126" s="127" t="s">
        <v>660</v>
      </c>
      <c r="D126" s="127">
        <v>725</v>
      </c>
      <c r="E126" s="127" t="s">
        <v>691</v>
      </c>
      <c r="F126" s="127" t="s">
        <v>719</v>
      </c>
      <c r="G126" s="51" t="s">
        <v>464</v>
      </c>
      <c r="H126" s="46" t="s">
        <v>962</v>
      </c>
      <c r="I126" t="s">
        <v>1041</v>
      </c>
    </row>
    <row r="127" spans="2:16" x14ac:dyDescent="0.2">
      <c r="B127" s="128">
        <v>44592</v>
      </c>
      <c r="C127" s="127" t="s">
        <v>660</v>
      </c>
      <c r="D127" s="127">
        <v>-24.3</v>
      </c>
      <c r="E127" s="127" t="s">
        <v>662</v>
      </c>
      <c r="F127" s="127" t="s">
        <v>952</v>
      </c>
      <c r="G127" s="177"/>
      <c r="H127" s="129" t="s">
        <v>979</v>
      </c>
      <c r="I127" t="s">
        <v>1039</v>
      </c>
      <c r="J127" s="129"/>
    </row>
    <row r="128" spans="2:16" x14ac:dyDescent="0.2">
      <c r="B128" s="128">
        <v>44592</v>
      </c>
      <c r="C128" s="127" t="s">
        <v>660</v>
      </c>
      <c r="D128" s="127">
        <v>-24</v>
      </c>
      <c r="E128" s="127" t="s">
        <v>662</v>
      </c>
      <c r="F128" s="127" t="s">
        <v>952</v>
      </c>
      <c r="G128" s="176"/>
      <c r="H128" s="129" t="s">
        <v>979</v>
      </c>
      <c r="I128" t="s">
        <v>1039</v>
      </c>
      <c r="J128" s="129"/>
    </row>
    <row r="129" spans="2:10" x14ac:dyDescent="0.2">
      <c r="B129" s="128">
        <v>44592</v>
      </c>
      <c r="C129" s="127" t="s">
        <v>660</v>
      </c>
      <c r="D129" s="127">
        <v>-12.6</v>
      </c>
      <c r="E129" s="127" t="s">
        <v>662</v>
      </c>
      <c r="F129" s="127" t="s">
        <v>952</v>
      </c>
      <c r="G129" s="176"/>
      <c r="H129" s="129" t="s">
        <v>979</v>
      </c>
      <c r="I129" t="s">
        <v>1039</v>
      </c>
    </row>
    <row r="130" spans="2:10" x14ac:dyDescent="0.2">
      <c r="B130" s="128">
        <v>44592</v>
      </c>
      <c r="C130" s="127" t="s">
        <v>660</v>
      </c>
      <c r="D130" s="127">
        <v>-12.6</v>
      </c>
      <c r="E130" s="127" t="s">
        <v>662</v>
      </c>
      <c r="F130" s="127" t="s">
        <v>952</v>
      </c>
      <c r="G130" s="176"/>
      <c r="H130" s="129" t="s">
        <v>979</v>
      </c>
      <c r="I130" t="s">
        <v>1039</v>
      </c>
    </row>
    <row r="131" spans="2:10" x14ac:dyDescent="0.2">
      <c r="B131" s="128">
        <v>44592</v>
      </c>
      <c r="C131" s="127" t="s">
        <v>660</v>
      </c>
      <c r="D131" s="127">
        <v>-3.99</v>
      </c>
      <c r="E131" s="127" t="s">
        <v>662</v>
      </c>
      <c r="F131" s="127" t="s">
        <v>952</v>
      </c>
      <c r="G131" s="176"/>
      <c r="H131" s="129" t="s">
        <v>979</v>
      </c>
      <c r="I131" t="s">
        <v>1039</v>
      </c>
      <c r="J131" s="131"/>
    </row>
    <row r="132" spans="2:10" x14ac:dyDescent="0.2">
      <c r="B132" s="128"/>
      <c r="G132" s="129"/>
      <c r="H132" s="129"/>
      <c r="J132" s="131"/>
    </row>
    <row r="133" spans="2:10" x14ac:dyDescent="0.2">
      <c r="B133" s="128"/>
      <c r="G133" s="129"/>
      <c r="H133" s="129"/>
      <c r="J133" s="129"/>
    </row>
    <row r="134" spans="2:10" x14ac:dyDescent="0.2">
      <c r="B134" s="128"/>
      <c r="H134" s="129"/>
      <c r="J134" s="129"/>
    </row>
    <row r="135" spans="2:10" x14ac:dyDescent="0.2">
      <c r="B135" s="128"/>
      <c r="G135" s="130"/>
      <c r="H135" s="129"/>
    </row>
    <row r="136" spans="2:10" x14ac:dyDescent="0.2">
      <c r="B136" s="128"/>
      <c r="G136" s="129"/>
      <c r="H136" s="129"/>
      <c r="J136" s="129"/>
    </row>
    <row r="137" spans="2:10" x14ac:dyDescent="0.2">
      <c r="B137" s="128"/>
      <c r="H137" s="129"/>
      <c r="J137" s="129"/>
    </row>
    <row r="138" spans="2:10" x14ac:dyDescent="0.2">
      <c r="B138" s="128"/>
      <c r="H138" s="129"/>
      <c r="J138" s="129"/>
    </row>
    <row r="139" spans="2:10" x14ac:dyDescent="0.2">
      <c r="B139" s="128"/>
      <c r="H139" s="129"/>
    </row>
    <row r="140" spans="2:10" x14ac:dyDescent="0.2">
      <c r="B140" s="128"/>
      <c r="H140" s="129"/>
      <c r="J140" s="129"/>
    </row>
    <row r="141" spans="2:10" x14ac:dyDescent="0.2">
      <c r="B141" s="128"/>
    </row>
    <row r="142" spans="2:10" x14ac:dyDescent="0.2">
      <c r="B142" s="128"/>
      <c r="H142" s="131"/>
      <c r="J142" s="129"/>
    </row>
    <row r="143" spans="2:10" x14ac:dyDescent="0.2">
      <c r="B143" s="128"/>
      <c r="H143" s="129"/>
    </row>
    <row r="144" spans="2:10" x14ac:dyDescent="0.2">
      <c r="B144" s="128"/>
      <c r="H144" s="131"/>
    </row>
    <row r="145" spans="2:10" x14ac:dyDescent="0.2">
      <c r="B145" s="128"/>
      <c r="H145" s="131"/>
    </row>
    <row r="146" spans="2:10" x14ac:dyDescent="0.2">
      <c r="B146" s="128"/>
      <c r="G146" s="129"/>
      <c r="H146" s="129"/>
    </row>
    <row r="147" spans="2:10" x14ac:dyDescent="0.2">
      <c r="B147" s="128"/>
      <c r="H147" s="131"/>
      <c r="J147" s="131"/>
    </row>
    <row r="148" spans="2:10" x14ac:dyDescent="0.2">
      <c r="B148" s="128"/>
      <c r="H148" s="131"/>
    </row>
    <row r="149" spans="2:10" x14ac:dyDescent="0.2">
      <c r="B149" s="128"/>
      <c r="J149" s="129"/>
    </row>
    <row r="150" spans="2:10" x14ac:dyDescent="0.2">
      <c r="B150" s="128"/>
      <c r="H150" s="131"/>
    </row>
    <row r="151" spans="2:10" x14ac:dyDescent="0.2">
      <c r="B151" s="128"/>
    </row>
    <row r="152" spans="2:10" x14ac:dyDescent="0.2">
      <c r="B152" s="164"/>
      <c r="C152"/>
      <c r="D152"/>
      <c r="E152"/>
      <c r="F152"/>
      <c r="H152" s="129"/>
      <c r="I152"/>
      <c r="J152" s="129"/>
    </row>
    <row r="153" spans="2:10" x14ac:dyDescent="0.2">
      <c r="B153" s="164"/>
      <c r="C153"/>
      <c r="D153"/>
      <c r="E153"/>
      <c r="F153"/>
      <c r="G153" s="129"/>
      <c r="H153" s="129"/>
      <c r="I153"/>
      <c r="J153" s="129"/>
    </row>
    <row r="154" spans="2:10" x14ac:dyDescent="0.2">
      <c r="B154" s="164"/>
      <c r="C154"/>
      <c r="D154"/>
      <c r="E154"/>
      <c r="F154"/>
      <c r="H154" s="131"/>
      <c r="I154"/>
      <c r="J154" s="129"/>
    </row>
    <row r="155" spans="2:10" x14ac:dyDescent="0.2">
      <c r="B155" s="164"/>
      <c r="C155"/>
      <c r="D155"/>
      <c r="E155"/>
      <c r="F155"/>
      <c r="I155"/>
    </row>
    <row r="156" spans="2:10" x14ac:dyDescent="0.2">
      <c r="B156" s="164"/>
      <c r="C156"/>
      <c r="D156"/>
      <c r="E156"/>
      <c r="F156"/>
      <c r="I156"/>
    </row>
    <row r="157" spans="2:10" x14ac:dyDescent="0.2">
      <c r="B157" s="164"/>
      <c r="C157"/>
      <c r="D157"/>
      <c r="E157"/>
      <c r="F157"/>
      <c r="I157"/>
    </row>
    <row r="158" spans="2:10" x14ac:dyDescent="0.2">
      <c r="B158" s="128"/>
      <c r="H158" s="129"/>
    </row>
    <row r="159" spans="2:10" x14ac:dyDescent="0.2">
      <c r="B159" s="128"/>
    </row>
    <row r="160" spans="2:10" x14ac:dyDescent="0.2">
      <c r="B160" s="128"/>
    </row>
    <row r="161" spans="2:10" x14ac:dyDescent="0.2">
      <c r="B161" s="128"/>
    </row>
    <row r="162" spans="2:10" x14ac:dyDescent="0.2">
      <c r="B162" s="128"/>
    </row>
    <row r="163" spans="2:10" x14ac:dyDescent="0.2">
      <c r="B163" s="128"/>
    </row>
    <row r="164" spans="2:10" x14ac:dyDescent="0.2">
      <c r="B164" s="128"/>
    </row>
    <row r="165" spans="2:10" x14ac:dyDescent="0.2">
      <c r="B165" s="128"/>
    </row>
    <row r="166" spans="2:10" x14ac:dyDescent="0.2">
      <c r="B166" s="128"/>
    </row>
    <row r="167" spans="2:10" x14ac:dyDescent="0.2">
      <c r="B167" s="128"/>
      <c r="H167" s="129"/>
      <c r="J167" s="129"/>
    </row>
    <row r="168" spans="2:10" x14ac:dyDescent="0.2">
      <c r="B168" s="128"/>
      <c r="J168" s="129"/>
    </row>
    <row r="169" spans="2:10" x14ac:dyDescent="0.2">
      <c r="B169" s="128"/>
      <c r="H169" s="131"/>
      <c r="J169" s="131"/>
    </row>
    <row r="170" spans="2:10" x14ac:dyDescent="0.2">
      <c r="B170" s="128"/>
    </row>
    <row r="171" spans="2:10" x14ac:dyDescent="0.2">
      <c r="B171" s="128"/>
      <c r="J171" s="129"/>
    </row>
    <row r="172" spans="2:10" x14ac:dyDescent="0.2">
      <c r="B172" s="128"/>
      <c r="H172" s="131"/>
      <c r="J172" s="129"/>
    </row>
    <row r="173" spans="2:10" x14ac:dyDescent="0.2">
      <c r="B173" s="128"/>
      <c r="J173" s="129"/>
    </row>
    <row r="174" spans="2:10" x14ac:dyDescent="0.2">
      <c r="B174" s="128"/>
    </row>
    <row r="175" spans="2:10" x14ac:dyDescent="0.2">
      <c r="B175" s="128"/>
    </row>
    <row r="176" spans="2:10" x14ac:dyDescent="0.2">
      <c r="B176" s="128"/>
      <c r="H176" s="131"/>
    </row>
    <row r="177" spans="2:10" x14ac:dyDescent="0.2">
      <c r="B177" s="128"/>
      <c r="H177" s="131"/>
      <c r="J177" s="129"/>
    </row>
    <row r="178" spans="2:10" x14ac:dyDescent="0.2">
      <c r="B178" s="128"/>
      <c r="G178" s="129"/>
      <c r="H178" s="131"/>
      <c r="J178" s="129"/>
    </row>
    <row r="179" spans="2:10" x14ac:dyDescent="0.2">
      <c r="B179" s="128"/>
      <c r="J179" s="129"/>
    </row>
    <row r="180" spans="2:10" x14ac:dyDescent="0.2">
      <c r="B180" s="128"/>
      <c r="J180" s="129"/>
    </row>
    <row r="181" spans="2:10" x14ac:dyDescent="0.2">
      <c r="B181" s="128"/>
      <c r="J181" s="129"/>
    </row>
    <row r="182" spans="2:10" x14ac:dyDescent="0.2">
      <c r="B182" s="128"/>
      <c r="J182" s="129"/>
    </row>
    <row r="183" spans="2:10" x14ac:dyDescent="0.2">
      <c r="B183" s="128"/>
      <c r="F183" s="129"/>
      <c r="G183" s="129"/>
      <c r="H183" s="129"/>
      <c r="J183" s="129"/>
    </row>
    <row r="184" spans="2:10" x14ac:dyDescent="0.2">
      <c r="B184" s="128"/>
      <c r="F184" s="129"/>
      <c r="G184" s="130"/>
    </row>
    <row r="185" spans="2:10" x14ac:dyDescent="0.2">
      <c r="B185" s="128"/>
      <c r="J185" s="129"/>
    </row>
    <row r="186" spans="2:10" x14ac:dyDescent="0.2">
      <c r="B186" s="128"/>
      <c r="H186" s="129"/>
      <c r="J186" s="129"/>
    </row>
    <row r="187" spans="2:10" x14ac:dyDescent="0.2">
      <c r="B187" s="128"/>
      <c r="H187" s="129"/>
      <c r="J187" s="129"/>
    </row>
    <row r="188" spans="2:10" x14ac:dyDescent="0.2">
      <c r="B188" s="128"/>
      <c r="J188" s="129"/>
    </row>
    <row r="189" spans="2:10" x14ac:dyDescent="0.2">
      <c r="B189" s="128"/>
      <c r="J189" s="129"/>
    </row>
    <row r="190" spans="2:10" x14ac:dyDescent="0.2">
      <c r="B190" s="128"/>
      <c r="J190" s="129"/>
    </row>
    <row r="191" spans="2:10" x14ac:dyDescent="0.2">
      <c r="B191" s="128"/>
      <c r="J191" s="129"/>
    </row>
    <row r="192" spans="2:10" x14ac:dyDescent="0.2">
      <c r="B192" s="128"/>
      <c r="G192" s="129"/>
      <c r="H192" s="129"/>
    </row>
    <row r="193" spans="2:10" x14ac:dyDescent="0.2">
      <c r="B193" s="128"/>
      <c r="G193" s="129"/>
      <c r="H193" s="129"/>
    </row>
    <row r="194" spans="2:10" x14ac:dyDescent="0.2">
      <c r="B194" s="128"/>
      <c r="G194" s="129"/>
      <c r="H194" s="129"/>
    </row>
    <row r="195" spans="2:10" x14ac:dyDescent="0.2">
      <c r="B195" s="128"/>
      <c r="G195" s="129"/>
      <c r="H195" s="129"/>
    </row>
    <row r="196" spans="2:10" x14ac:dyDescent="0.2">
      <c r="B196" s="128"/>
      <c r="H196" s="129"/>
    </row>
    <row r="197" spans="2:10" x14ac:dyDescent="0.2">
      <c r="B197" s="128"/>
      <c r="H197" s="131"/>
      <c r="J197" s="129"/>
    </row>
    <row r="198" spans="2:10" x14ac:dyDescent="0.2">
      <c r="B198" s="128"/>
      <c r="J198" s="129"/>
    </row>
    <row r="199" spans="2:10" x14ac:dyDescent="0.2">
      <c r="B199" s="128"/>
    </row>
    <row r="200" spans="2:10" x14ac:dyDescent="0.2">
      <c r="B200" s="128"/>
      <c r="J200" s="129"/>
    </row>
    <row r="201" spans="2:10" x14ac:dyDescent="0.2">
      <c r="B201" s="128"/>
      <c r="H201" s="129"/>
      <c r="J201" s="129"/>
    </row>
    <row r="202" spans="2:10" x14ac:dyDescent="0.2">
      <c r="B202" s="128"/>
      <c r="H202" s="131"/>
    </row>
    <row r="203" spans="2:10" x14ac:dyDescent="0.2">
      <c r="B203" s="128"/>
      <c r="H203" s="131"/>
    </row>
    <row r="204" spans="2:10" x14ac:dyDescent="0.2">
      <c r="B204" s="128"/>
      <c r="H204" s="129"/>
    </row>
    <row r="205" spans="2:10" x14ac:dyDescent="0.2">
      <c r="B205" s="128"/>
      <c r="H205" s="129"/>
    </row>
    <row r="206" spans="2:10" x14ac:dyDescent="0.2">
      <c r="B206" s="128"/>
      <c r="H206" s="129"/>
    </row>
    <row r="207" spans="2:10" x14ac:dyDescent="0.2">
      <c r="B207" s="128"/>
    </row>
    <row r="208" spans="2:10" x14ac:dyDescent="0.2">
      <c r="B208" s="128"/>
    </row>
    <row r="209" spans="2:10" x14ac:dyDescent="0.2">
      <c r="B209" s="128"/>
    </row>
    <row r="210" spans="2:10" x14ac:dyDescent="0.2">
      <c r="B210" s="128"/>
      <c r="H210" s="129"/>
      <c r="J210" s="129"/>
    </row>
    <row r="211" spans="2:10" x14ac:dyDescent="0.2">
      <c r="B211" s="128"/>
      <c r="H211" s="129"/>
    </row>
    <row r="212" spans="2:10" x14ac:dyDescent="0.2">
      <c r="B212" s="128"/>
    </row>
    <row r="213" spans="2:10" x14ac:dyDescent="0.2">
      <c r="B213" s="128"/>
    </row>
    <row r="214" spans="2:10" x14ac:dyDescent="0.2">
      <c r="B214" s="128"/>
      <c r="H214" s="129"/>
      <c r="J214" s="129"/>
    </row>
    <row r="215" spans="2:10" x14ac:dyDescent="0.2">
      <c r="B215" s="128"/>
      <c r="H215" s="129"/>
      <c r="J215" s="129"/>
    </row>
    <row r="216" spans="2:10" x14ac:dyDescent="0.2">
      <c r="B216" s="128"/>
    </row>
    <row r="217" spans="2:10" x14ac:dyDescent="0.2">
      <c r="B217" s="128"/>
    </row>
    <row r="218" spans="2:10" x14ac:dyDescent="0.2">
      <c r="B218" s="128"/>
      <c r="H218" s="129"/>
    </row>
    <row r="219" spans="2:10" x14ac:dyDescent="0.2">
      <c r="B219" s="128"/>
    </row>
    <row r="220" spans="2:10" x14ac:dyDescent="0.2">
      <c r="B220" s="128"/>
      <c r="H220" s="129"/>
    </row>
    <row r="221" spans="2:10" x14ac:dyDescent="0.2">
      <c r="B221" s="128"/>
    </row>
    <row r="222" spans="2:10" x14ac:dyDescent="0.2">
      <c r="B222" s="128"/>
      <c r="H222" s="129"/>
    </row>
    <row r="223" spans="2:10" x14ac:dyDescent="0.2">
      <c r="B223" s="128"/>
      <c r="G223" s="129"/>
      <c r="H223" s="129"/>
    </row>
    <row r="224" spans="2:10" x14ac:dyDescent="0.2">
      <c r="B224" s="128"/>
      <c r="H224" s="131"/>
    </row>
    <row r="225" spans="2:10" x14ac:dyDescent="0.2">
      <c r="B225" s="128"/>
      <c r="J225" s="129"/>
    </row>
    <row r="226" spans="2:10" x14ac:dyDescent="0.2">
      <c r="B226" s="128"/>
      <c r="J226" s="129"/>
    </row>
    <row r="227" spans="2:10" x14ac:dyDescent="0.2">
      <c r="B227" s="128"/>
      <c r="G227" s="129"/>
    </row>
    <row r="228" spans="2:10" x14ac:dyDescent="0.2">
      <c r="B228" s="128"/>
      <c r="H228" s="129"/>
      <c r="J228" s="129"/>
    </row>
    <row r="229" spans="2:10" x14ac:dyDescent="0.2">
      <c r="B229" s="128"/>
      <c r="H229" s="129"/>
      <c r="J229" s="129"/>
    </row>
    <row r="230" spans="2:10" x14ac:dyDescent="0.2">
      <c r="B230" s="128"/>
    </row>
    <row r="231" spans="2:10" x14ac:dyDescent="0.2">
      <c r="B231" s="128"/>
    </row>
    <row r="232" spans="2:10" x14ac:dyDescent="0.2">
      <c r="B232" s="128"/>
      <c r="F232" s="129"/>
    </row>
    <row r="233" spans="2:10" x14ac:dyDescent="0.2">
      <c r="B233" s="128"/>
      <c r="H233" s="129"/>
    </row>
    <row r="234" spans="2:10" x14ac:dyDescent="0.2">
      <c r="B234" s="128"/>
      <c r="J234" s="129"/>
    </row>
    <row r="235" spans="2:10" x14ac:dyDescent="0.2">
      <c r="B235" s="128"/>
      <c r="H235" s="131"/>
      <c r="J235" s="131"/>
    </row>
    <row r="236" spans="2:10" x14ac:dyDescent="0.2">
      <c r="B236" s="128"/>
    </row>
    <row r="237" spans="2:10" x14ac:dyDescent="0.2">
      <c r="B237" s="128"/>
      <c r="J237" s="129"/>
    </row>
    <row r="238" spans="2:10" x14ac:dyDescent="0.2">
      <c r="B238" s="128"/>
      <c r="H238" s="129"/>
      <c r="J238" s="129"/>
    </row>
    <row r="239" spans="2:10" x14ac:dyDescent="0.2">
      <c r="B239" s="128"/>
    </row>
    <row r="240" spans="2:10" x14ac:dyDescent="0.2">
      <c r="B240" s="128"/>
    </row>
    <row r="241" spans="2:10" x14ac:dyDescent="0.2">
      <c r="B241" s="128"/>
    </row>
    <row r="242" spans="2:10" x14ac:dyDescent="0.2">
      <c r="B242" s="128"/>
    </row>
    <row r="243" spans="2:10" x14ac:dyDescent="0.2">
      <c r="B243" s="128"/>
    </row>
    <row r="244" spans="2:10" x14ac:dyDescent="0.2">
      <c r="B244" s="128"/>
      <c r="J244" s="129"/>
    </row>
    <row r="245" spans="2:10" x14ac:dyDescent="0.2">
      <c r="B245" s="128"/>
      <c r="J245" s="129"/>
    </row>
    <row r="246" spans="2:10" x14ac:dyDescent="0.2">
      <c r="B246" s="128"/>
    </row>
    <row r="247" spans="2:10" x14ac:dyDescent="0.2">
      <c r="B247" s="128"/>
      <c r="H247" s="129"/>
    </row>
    <row r="248" spans="2:10" x14ac:dyDescent="0.2">
      <c r="B248" s="128"/>
    </row>
    <row r="249" spans="2:10" x14ac:dyDescent="0.2">
      <c r="B249" s="128"/>
    </row>
    <row r="250" spans="2:10" x14ac:dyDescent="0.2">
      <c r="B250" s="128"/>
    </row>
    <row r="251" spans="2:10" x14ac:dyDescent="0.2">
      <c r="B251" s="128"/>
    </row>
    <row r="252" spans="2:10" x14ac:dyDescent="0.2">
      <c r="B252" s="128"/>
    </row>
    <row r="253" spans="2:10" x14ac:dyDescent="0.2">
      <c r="B253" s="128"/>
    </row>
    <row r="254" spans="2:10" x14ac:dyDescent="0.2">
      <c r="B254" s="128"/>
    </row>
    <row r="255" spans="2:10" x14ac:dyDescent="0.2">
      <c r="B255" s="128"/>
    </row>
    <row r="256" spans="2:10" x14ac:dyDescent="0.2">
      <c r="B256" s="128"/>
      <c r="H256" s="129"/>
    </row>
    <row r="257" spans="2:10" x14ac:dyDescent="0.2">
      <c r="B257" s="128"/>
      <c r="H257" s="129"/>
      <c r="J257" s="129"/>
    </row>
    <row r="258" spans="2:10" x14ac:dyDescent="0.2">
      <c r="B258" s="128"/>
      <c r="H258" s="129"/>
      <c r="J258" s="129"/>
    </row>
    <row r="259" spans="2:10" x14ac:dyDescent="0.2">
      <c r="B259" s="128"/>
      <c r="J259" s="129"/>
    </row>
    <row r="260" spans="2:10" x14ac:dyDescent="0.2">
      <c r="B260" s="128"/>
      <c r="J260" s="129"/>
    </row>
    <row r="261" spans="2:10" x14ac:dyDescent="0.2">
      <c r="B261" s="128"/>
      <c r="G261" s="129"/>
      <c r="H261" s="129"/>
    </row>
    <row r="262" spans="2:10" x14ac:dyDescent="0.2">
      <c r="B262" s="128"/>
      <c r="J262" s="129"/>
    </row>
    <row r="263" spans="2:10" x14ac:dyDescent="0.2">
      <c r="B263" s="128"/>
      <c r="J263" s="129"/>
    </row>
    <row r="264" spans="2:10" x14ac:dyDescent="0.2">
      <c r="B264" s="128"/>
    </row>
    <row r="265" spans="2:10" x14ac:dyDescent="0.2">
      <c r="B265" s="128"/>
    </row>
    <row r="266" spans="2:10" x14ac:dyDescent="0.2">
      <c r="B266" s="128"/>
    </row>
    <row r="267" spans="2:10" x14ac:dyDescent="0.2">
      <c r="B267" s="128"/>
    </row>
    <row r="268" spans="2:10" x14ac:dyDescent="0.2">
      <c r="B268" s="128"/>
    </row>
    <row r="269" spans="2:10" x14ac:dyDescent="0.2">
      <c r="B269" s="128"/>
    </row>
    <row r="270" spans="2:10" x14ac:dyDescent="0.2">
      <c r="B270" s="128"/>
    </row>
    <row r="271" spans="2:10" x14ac:dyDescent="0.2">
      <c r="B271" s="128"/>
    </row>
  </sheetData>
  <autoFilter ref="A1:J271" xr:uid="{5DF26C40-5963-4697-8D42-D69A2622B74F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94"/>
  <sheetViews>
    <sheetView zoomScale="70" zoomScaleNormal="70" workbookViewId="0">
      <selection activeCell="G29" sqref="G29"/>
    </sheetView>
  </sheetViews>
  <sheetFormatPr defaultColWidth="9.140625" defaultRowHeight="12.75" x14ac:dyDescent="0.2"/>
  <cols>
    <col min="1" max="1" width="10.28515625" style="127" bestFit="1" customWidth="1"/>
    <col min="2" max="2" width="10.7109375" style="127" bestFit="1" customWidth="1"/>
    <col min="3" max="3" width="17.28515625" style="127" bestFit="1" customWidth="1"/>
    <col min="4" max="4" width="8.85546875" style="127" bestFit="1" customWidth="1"/>
    <col min="5" max="5" width="15.28515625" style="127" bestFit="1" customWidth="1"/>
    <col min="6" max="6" width="52" style="127" bestFit="1" customWidth="1"/>
    <col min="7" max="7" width="12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15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15" x14ac:dyDescent="0.2">
      <c r="B2" s="128">
        <v>44565</v>
      </c>
      <c r="C2" s="127" t="s">
        <v>721</v>
      </c>
      <c r="D2" s="127">
        <v>855</v>
      </c>
      <c r="E2" s="129" t="s">
        <v>697</v>
      </c>
      <c r="F2" s="129" t="s">
        <v>789</v>
      </c>
      <c r="G2" s="132" t="s">
        <v>486</v>
      </c>
      <c r="H2" s="46" t="s">
        <v>990</v>
      </c>
      <c r="I2" t="s">
        <v>1041</v>
      </c>
    </row>
    <row r="3" spans="1:15" x14ac:dyDescent="0.2">
      <c r="B3" s="128">
        <v>44565</v>
      </c>
      <c r="C3" s="127" t="s">
        <v>721</v>
      </c>
      <c r="D3" s="127">
        <v>775</v>
      </c>
      <c r="E3" s="129" t="s">
        <v>697</v>
      </c>
      <c r="F3" s="129" t="s">
        <v>953</v>
      </c>
      <c r="G3" s="132" t="s">
        <v>475</v>
      </c>
      <c r="H3" s="46" t="s">
        <v>987</v>
      </c>
      <c r="I3" t="s">
        <v>1041</v>
      </c>
    </row>
    <row r="4" spans="1:15" x14ac:dyDescent="0.2">
      <c r="B4" s="128">
        <v>44565</v>
      </c>
      <c r="C4" s="127" t="s">
        <v>721</v>
      </c>
      <c r="D4" s="127">
        <v>1200</v>
      </c>
      <c r="E4" s="127" t="s">
        <v>697</v>
      </c>
      <c r="F4" s="127" t="s">
        <v>722</v>
      </c>
      <c r="G4" s="175"/>
      <c r="H4" s="129"/>
      <c r="I4" t="s">
        <v>1039</v>
      </c>
    </row>
    <row r="5" spans="1:15" x14ac:dyDescent="0.2">
      <c r="B5" s="128">
        <v>44565</v>
      </c>
      <c r="C5" s="127" t="s">
        <v>721</v>
      </c>
      <c r="D5" s="127">
        <v>-50</v>
      </c>
      <c r="E5" s="127" t="s">
        <v>663</v>
      </c>
      <c r="F5" s="127" t="s">
        <v>723</v>
      </c>
      <c r="G5" s="151"/>
      <c r="I5" t="s">
        <v>1039</v>
      </c>
    </row>
    <row r="6" spans="1:15" x14ac:dyDescent="0.2">
      <c r="B6" s="128">
        <v>44565</v>
      </c>
      <c r="C6" s="127" t="s">
        <v>721</v>
      </c>
      <c r="D6" s="127">
        <v>-50</v>
      </c>
      <c r="E6" s="127" t="s">
        <v>663</v>
      </c>
      <c r="F6" s="127" t="s">
        <v>668</v>
      </c>
      <c r="G6" s="175"/>
      <c r="H6" s="129"/>
      <c r="I6" t="s">
        <v>1039</v>
      </c>
      <c r="O6" s="129"/>
    </row>
    <row r="7" spans="1:15" x14ac:dyDescent="0.2">
      <c r="B7" s="128">
        <v>44565</v>
      </c>
      <c r="C7" s="127" t="s">
        <v>721</v>
      </c>
      <c r="D7" s="127">
        <v>-75</v>
      </c>
      <c r="E7" s="127" t="s">
        <v>663</v>
      </c>
      <c r="F7" s="127" t="s">
        <v>735</v>
      </c>
      <c r="G7" s="151"/>
      <c r="I7" t="s">
        <v>1039</v>
      </c>
    </row>
    <row r="8" spans="1:15" x14ac:dyDescent="0.2">
      <c r="B8" s="128">
        <v>44565</v>
      </c>
      <c r="C8" s="127" t="s">
        <v>721</v>
      </c>
      <c r="D8" s="127">
        <v>-160</v>
      </c>
      <c r="E8" s="127" t="s">
        <v>663</v>
      </c>
      <c r="F8" s="127" t="s">
        <v>724</v>
      </c>
      <c r="G8" s="151"/>
      <c r="I8" t="s">
        <v>1039</v>
      </c>
    </row>
    <row r="9" spans="1:15" x14ac:dyDescent="0.2">
      <c r="B9" s="128">
        <v>44565</v>
      </c>
      <c r="C9" s="127" t="s">
        <v>721</v>
      </c>
      <c r="D9" s="127">
        <v>-157.5</v>
      </c>
      <c r="E9" s="127" t="s">
        <v>663</v>
      </c>
      <c r="F9" s="127" t="s">
        <v>725</v>
      </c>
      <c r="G9" s="151"/>
      <c r="I9" t="s">
        <v>1039</v>
      </c>
    </row>
    <row r="10" spans="1:15" x14ac:dyDescent="0.2">
      <c r="B10" s="128">
        <v>44565</v>
      </c>
      <c r="C10" s="127" t="s">
        <v>721</v>
      </c>
      <c r="D10" s="127">
        <v>-232.5</v>
      </c>
      <c r="E10" s="127" t="s">
        <v>663</v>
      </c>
      <c r="F10" s="127" t="s">
        <v>726</v>
      </c>
      <c r="G10" s="151"/>
      <c r="I10" t="s">
        <v>1039</v>
      </c>
    </row>
    <row r="11" spans="1:15" x14ac:dyDescent="0.2">
      <c r="B11" s="128">
        <v>44565</v>
      </c>
      <c r="C11" s="127" t="s">
        <v>721</v>
      </c>
      <c r="D11" s="127">
        <v>-75</v>
      </c>
      <c r="E11" s="127" t="s">
        <v>672</v>
      </c>
      <c r="F11" s="127" t="s">
        <v>791</v>
      </c>
      <c r="G11" s="170"/>
      <c r="I11" t="s">
        <v>1039</v>
      </c>
    </row>
    <row r="12" spans="1:15" x14ac:dyDescent="0.2">
      <c r="B12" s="128">
        <v>44565</v>
      </c>
      <c r="C12" s="127" t="s">
        <v>721</v>
      </c>
      <c r="D12" s="127">
        <v>-340.6</v>
      </c>
      <c r="E12" s="127" t="s">
        <v>672</v>
      </c>
      <c r="F12" s="127" t="s">
        <v>729</v>
      </c>
      <c r="G12" s="170"/>
      <c r="H12" s="129"/>
      <c r="I12" t="s">
        <v>1040</v>
      </c>
    </row>
    <row r="13" spans="1:15" x14ac:dyDescent="0.2">
      <c r="B13" s="128">
        <v>44565</v>
      </c>
      <c r="C13" s="127" t="s">
        <v>721</v>
      </c>
      <c r="D13" s="127">
        <v>-485.49</v>
      </c>
      <c r="E13" s="127" t="s">
        <v>672</v>
      </c>
      <c r="F13" s="127" t="s">
        <v>730</v>
      </c>
      <c r="G13" s="170"/>
      <c r="I13" t="s">
        <v>1040</v>
      </c>
    </row>
    <row r="14" spans="1:15" x14ac:dyDescent="0.2">
      <c r="B14" s="128">
        <v>44565</v>
      </c>
      <c r="C14" s="127" t="s">
        <v>721</v>
      </c>
      <c r="D14" s="127">
        <v>-204.32</v>
      </c>
      <c r="E14" s="127" t="s">
        <v>672</v>
      </c>
      <c r="F14" s="127" t="s">
        <v>734</v>
      </c>
      <c r="G14" s="169"/>
      <c r="H14" s="129"/>
      <c r="I14" t="s">
        <v>1040</v>
      </c>
    </row>
    <row r="15" spans="1:15" x14ac:dyDescent="0.2">
      <c r="B15" s="128">
        <v>44565</v>
      </c>
      <c r="C15" s="127" t="s">
        <v>721</v>
      </c>
      <c r="D15" s="127">
        <v>-166.23</v>
      </c>
      <c r="E15" s="127" t="s">
        <v>672</v>
      </c>
      <c r="F15" s="127" t="s">
        <v>731</v>
      </c>
      <c r="G15" s="169"/>
      <c r="H15" s="129"/>
      <c r="I15" t="s">
        <v>1040</v>
      </c>
    </row>
    <row r="16" spans="1:15" x14ac:dyDescent="0.2">
      <c r="B16" s="128">
        <v>44565</v>
      </c>
      <c r="C16" s="127" t="s">
        <v>721</v>
      </c>
      <c r="D16" s="127">
        <v>-37.950000000000003</v>
      </c>
      <c r="E16" s="127" t="s">
        <v>672</v>
      </c>
      <c r="F16" s="127" t="s">
        <v>954</v>
      </c>
      <c r="G16" s="170"/>
      <c r="H16" s="129"/>
      <c r="I16" t="s">
        <v>1039</v>
      </c>
    </row>
    <row r="17" spans="2:9" x14ac:dyDescent="0.2">
      <c r="B17" s="128">
        <v>44565</v>
      </c>
      <c r="C17" s="127" t="s">
        <v>721</v>
      </c>
      <c r="D17" s="127">
        <v>-183.02</v>
      </c>
      <c r="E17" s="127" t="s">
        <v>672</v>
      </c>
      <c r="F17" s="127" t="s">
        <v>727</v>
      </c>
      <c r="G17" s="169"/>
      <c r="H17" s="129"/>
      <c r="I17" t="s">
        <v>1040</v>
      </c>
    </row>
    <row r="18" spans="2:9" x14ac:dyDescent="0.2">
      <c r="B18" s="128">
        <v>44565</v>
      </c>
      <c r="C18" s="127" t="s">
        <v>721</v>
      </c>
      <c r="D18" s="127">
        <v>-184.52</v>
      </c>
      <c r="E18" s="127" t="s">
        <v>672</v>
      </c>
      <c r="F18" s="127" t="s">
        <v>728</v>
      </c>
      <c r="G18" s="170"/>
      <c r="I18" t="s">
        <v>1040</v>
      </c>
    </row>
    <row r="19" spans="2:9" x14ac:dyDescent="0.2">
      <c r="B19" s="128">
        <v>44565</v>
      </c>
      <c r="C19" s="127" t="s">
        <v>721</v>
      </c>
      <c r="D19" s="127">
        <v>695</v>
      </c>
      <c r="E19" s="127" t="s">
        <v>661</v>
      </c>
      <c r="F19" s="127" t="s">
        <v>955</v>
      </c>
      <c r="G19" s="132" t="s">
        <v>480</v>
      </c>
      <c r="H19" s="46" t="s">
        <v>985</v>
      </c>
      <c r="I19" t="s">
        <v>1041</v>
      </c>
    </row>
    <row r="20" spans="2:9" x14ac:dyDescent="0.2">
      <c r="B20" s="128">
        <v>44566</v>
      </c>
      <c r="C20" s="127" t="s">
        <v>721</v>
      </c>
      <c r="D20" s="127">
        <v>-1509.68</v>
      </c>
      <c r="E20" s="127" t="s">
        <v>672</v>
      </c>
      <c r="F20" s="127" t="s">
        <v>765</v>
      </c>
      <c r="G20" s="174"/>
      <c r="H20" s="129"/>
      <c r="I20" t="s">
        <v>1039</v>
      </c>
    </row>
    <row r="21" spans="2:9" x14ac:dyDescent="0.2">
      <c r="B21" s="128">
        <v>44566</v>
      </c>
      <c r="C21" s="127" t="s">
        <v>721</v>
      </c>
      <c r="D21" s="127">
        <v>-2331.88</v>
      </c>
      <c r="E21" s="127" t="s">
        <v>672</v>
      </c>
      <c r="F21" s="127" t="s">
        <v>763</v>
      </c>
      <c r="G21" s="174"/>
      <c r="H21" s="129"/>
      <c r="I21" t="s">
        <v>1039</v>
      </c>
    </row>
    <row r="22" spans="2:9" x14ac:dyDescent="0.2">
      <c r="B22" s="128">
        <v>44566</v>
      </c>
      <c r="C22" s="127" t="s">
        <v>721</v>
      </c>
      <c r="D22" s="127">
        <v>-1578</v>
      </c>
      <c r="E22" s="127" t="s">
        <v>672</v>
      </c>
      <c r="F22" s="127" t="s">
        <v>764</v>
      </c>
      <c r="G22" s="174"/>
      <c r="H22" s="129"/>
      <c r="I22" t="s">
        <v>1039</v>
      </c>
    </row>
    <row r="23" spans="2:9" x14ac:dyDescent="0.2">
      <c r="B23" s="128">
        <v>44566</v>
      </c>
      <c r="C23" s="127" t="s">
        <v>721</v>
      </c>
      <c r="D23" s="127">
        <v>850</v>
      </c>
      <c r="E23" s="127" t="s">
        <v>691</v>
      </c>
      <c r="F23" s="127" t="s">
        <v>956</v>
      </c>
      <c r="G23" s="132" t="s">
        <v>469</v>
      </c>
      <c r="H23" s="46" t="s">
        <v>982</v>
      </c>
      <c r="I23" t="s">
        <v>1041</v>
      </c>
    </row>
    <row r="24" spans="2:9" x14ac:dyDescent="0.2">
      <c r="B24" s="128">
        <v>44567</v>
      </c>
      <c r="C24" s="127" t="s">
        <v>721</v>
      </c>
      <c r="D24" s="127">
        <v>-353.23</v>
      </c>
      <c r="E24" s="127" t="s">
        <v>672</v>
      </c>
      <c r="F24" s="127" t="s">
        <v>736</v>
      </c>
      <c r="G24" s="170"/>
      <c r="H24" s="129"/>
      <c r="I24" t="s">
        <v>1039</v>
      </c>
    </row>
    <row r="25" spans="2:9" x14ac:dyDescent="0.2">
      <c r="B25" s="128">
        <v>44568</v>
      </c>
      <c r="C25" s="127" t="s">
        <v>721</v>
      </c>
      <c r="D25" s="127">
        <v>452</v>
      </c>
      <c r="E25" s="127" t="s">
        <v>691</v>
      </c>
      <c r="F25" s="127" t="s">
        <v>733</v>
      </c>
      <c r="G25" s="171"/>
      <c r="H25" s="129"/>
      <c r="I25" t="s">
        <v>1039</v>
      </c>
    </row>
    <row r="26" spans="2:9" x14ac:dyDescent="0.2">
      <c r="B26" s="128">
        <v>44568</v>
      </c>
      <c r="C26" s="127" t="s">
        <v>721</v>
      </c>
      <c r="D26" s="127">
        <v>-126</v>
      </c>
      <c r="E26" s="127" t="s">
        <v>672</v>
      </c>
      <c r="F26" s="127" t="s">
        <v>788</v>
      </c>
      <c r="G26" s="132" t="s">
        <v>480</v>
      </c>
      <c r="H26" s="46" t="s">
        <v>981</v>
      </c>
      <c r="I26" t="s">
        <v>1038</v>
      </c>
    </row>
    <row r="27" spans="2:9" x14ac:dyDescent="0.2">
      <c r="B27" s="128">
        <v>44571</v>
      </c>
      <c r="C27" s="127" t="s">
        <v>721</v>
      </c>
      <c r="D27" s="127">
        <v>-186.57</v>
      </c>
      <c r="E27" s="127" t="s">
        <v>672</v>
      </c>
      <c r="F27" s="127" t="s">
        <v>803</v>
      </c>
      <c r="G27" s="170"/>
      <c r="H27" s="129"/>
      <c r="I27" t="s">
        <v>1040</v>
      </c>
    </row>
    <row r="28" spans="2:9" x14ac:dyDescent="0.2">
      <c r="B28" s="128">
        <v>44573</v>
      </c>
      <c r="C28" s="127" t="s">
        <v>721</v>
      </c>
      <c r="D28" s="127">
        <v>-37.68</v>
      </c>
      <c r="E28" s="127" t="s">
        <v>672</v>
      </c>
      <c r="F28" s="127" t="s">
        <v>737</v>
      </c>
      <c r="G28" s="169"/>
      <c r="H28" s="129"/>
      <c r="I28" t="s">
        <v>1039</v>
      </c>
    </row>
    <row r="29" spans="2:9" x14ac:dyDescent="0.2">
      <c r="B29" s="128">
        <v>44574</v>
      </c>
      <c r="C29" s="127" t="s">
        <v>721</v>
      </c>
      <c r="D29" s="127">
        <v>-66</v>
      </c>
      <c r="E29" s="127" t="s">
        <v>662</v>
      </c>
      <c r="F29" s="127" t="s">
        <v>957</v>
      </c>
      <c r="G29" s="132" t="s">
        <v>497</v>
      </c>
      <c r="H29" s="127" t="s">
        <v>957</v>
      </c>
      <c r="I29" t="s">
        <v>1038</v>
      </c>
    </row>
    <row r="30" spans="2:9" x14ac:dyDescent="0.2">
      <c r="B30" s="128">
        <v>44574</v>
      </c>
      <c r="C30" s="127" t="s">
        <v>721</v>
      </c>
      <c r="D30" s="127">
        <v>352.44</v>
      </c>
      <c r="E30" s="127" t="s">
        <v>691</v>
      </c>
      <c r="F30" s="129" t="s">
        <v>755</v>
      </c>
      <c r="G30" s="172"/>
      <c r="H30" s="129"/>
      <c r="I30" t="s">
        <v>1039</v>
      </c>
    </row>
    <row r="31" spans="2:9" x14ac:dyDescent="0.2">
      <c r="B31" s="128">
        <v>44574</v>
      </c>
      <c r="C31" s="127" t="s">
        <v>721</v>
      </c>
      <c r="D31" s="127">
        <v>96.52</v>
      </c>
      <c r="E31" s="127" t="s">
        <v>691</v>
      </c>
      <c r="F31" s="127" t="s">
        <v>754</v>
      </c>
      <c r="G31" s="171"/>
      <c r="I31" t="s">
        <v>1039</v>
      </c>
    </row>
    <row r="32" spans="2:9" x14ac:dyDescent="0.2">
      <c r="B32" s="128">
        <v>44575</v>
      </c>
      <c r="C32" s="127" t="s">
        <v>721</v>
      </c>
      <c r="D32" s="127">
        <v>600</v>
      </c>
      <c r="E32" s="127" t="s">
        <v>691</v>
      </c>
      <c r="F32" s="127" t="s">
        <v>738</v>
      </c>
      <c r="G32" s="132" t="s">
        <v>495</v>
      </c>
      <c r="H32" s="46" t="s">
        <v>983</v>
      </c>
      <c r="I32" t="s">
        <v>1041</v>
      </c>
    </row>
    <row r="33" spans="2:9" x14ac:dyDescent="0.2">
      <c r="B33" s="128">
        <v>44575</v>
      </c>
      <c r="C33" s="127" t="s">
        <v>721</v>
      </c>
      <c r="D33" s="127">
        <v>29.53</v>
      </c>
      <c r="E33" s="127" t="s">
        <v>691</v>
      </c>
      <c r="F33" s="127" t="s">
        <v>750</v>
      </c>
      <c r="G33" s="171"/>
      <c r="I33" t="s">
        <v>1039</v>
      </c>
    </row>
    <row r="34" spans="2:9" x14ac:dyDescent="0.2">
      <c r="B34" s="128">
        <v>44575</v>
      </c>
      <c r="C34" s="127" t="s">
        <v>721</v>
      </c>
      <c r="D34" s="127">
        <v>-56.41</v>
      </c>
      <c r="E34" s="127" t="s">
        <v>672</v>
      </c>
      <c r="F34" s="127" t="s">
        <v>958</v>
      </c>
      <c r="G34" s="170"/>
      <c r="H34" s="129"/>
      <c r="I34" t="s">
        <v>1039</v>
      </c>
    </row>
    <row r="35" spans="2:9" x14ac:dyDescent="0.2">
      <c r="B35" s="128">
        <v>44578</v>
      </c>
      <c r="C35" s="127" t="s">
        <v>721</v>
      </c>
      <c r="D35" s="127">
        <v>-155.44</v>
      </c>
      <c r="E35" s="127" t="s">
        <v>672</v>
      </c>
      <c r="F35" s="127" t="s">
        <v>739</v>
      </c>
      <c r="G35" s="169"/>
      <c r="H35" s="129"/>
      <c r="I35" t="s">
        <v>1040</v>
      </c>
    </row>
    <row r="36" spans="2:9" x14ac:dyDescent="0.2">
      <c r="B36" s="128">
        <v>44578</v>
      </c>
      <c r="C36" s="127" t="s">
        <v>721</v>
      </c>
      <c r="D36" s="127">
        <v>-166.19</v>
      </c>
      <c r="E36" s="127" t="s">
        <v>672</v>
      </c>
      <c r="F36" s="127" t="s">
        <v>740</v>
      </c>
      <c r="G36" s="169"/>
      <c r="H36" s="131"/>
      <c r="I36" t="s">
        <v>1040</v>
      </c>
    </row>
    <row r="37" spans="2:9" x14ac:dyDescent="0.2">
      <c r="B37" s="128">
        <v>44578</v>
      </c>
      <c r="C37" s="127" t="s">
        <v>721</v>
      </c>
      <c r="D37" s="127">
        <v>-171.99</v>
      </c>
      <c r="E37" s="127" t="s">
        <v>672</v>
      </c>
      <c r="F37" s="127" t="s">
        <v>741</v>
      </c>
      <c r="G37" s="169"/>
      <c r="H37" s="129"/>
      <c r="I37" t="s">
        <v>1040</v>
      </c>
    </row>
    <row r="38" spans="2:9" x14ac:dyDescent="0.2">
      <c r="B38" s="128">
        <v>44578</v>
      </c>
      <c r="C38" s="127" t="s">
        <v>721</v>
      </c>
      <c r="D38" s="127">
        <v>-171.99</v>
      </c>
      <c r="E38" s="127" t="s">
        <v>672</v>
      </c>
      <c r="F38" s="127" t="s">
        <v>742</v>
      </c>
      <c r="G38" s="169"/>
      <c r="H38" s="129"/>
      <c r="I38" t="s">
        <v>1040</v>
      </c>
    </row>
    <row r="39" spans="2:9" x14ac:dyDescent="0.2">
      <c r="B39" s="128">
        <v>44578</v>
      </c>
      <c r="C39" s="127" t="s">
        <v>721</v>
      </c>
      <c r="D39" s="127">
        <v>-166.22</v>
      </c>
      <c r="E39" s="127" t="s">
        <v>672</v>
      </c>
      <c r="F39" s="127" t="s">
        <v>743</v>
      </c>
      <c r="G39" s="169"/>
      <c r="H39" s="129"/>
      <c r="I39" t="s">
        <v>1040</v>
      </c>
    </row>
    <row r="40" spans="2:9" x14ac:dyDescent="0.2">
      <c r="B40" s="128">
        <v>44578</v>
      </c>
      <c r="C40" s="127" t="s">
        <v>721</v>
      </c>
      <c r="D40" s="127">
        <v>-166.19</v>
      </c>
      <c r="E40" s="127" t="s">
        <v>672</v>
      </c>
      <c r="F40" s="127" t="s">
        <v>744</v>
      </c>
      <c r="G40" s="170"/>
      <c r="H40" s="129"/>
      <c r="I40" t="s">
        <v>1040</v>
      </c>
    </row>
    <row r="41" spans="2:9" x14ac:dyDescent="0.2">
      <c r="B41" s="128">
        <v>44578</v>
      </c>
      <c r="C41" s="127" t="s">
        <v>721</v>
      </c>
      <c r="D41" s="127">
        <v>-166.25</v>
      </c>
      <c r="E41" s="127" t="s">
        <v>672</v>
      </c>
      <c r="F41" s="127" t="s">
        <v>745</v>
      </c>
      <c r="G41" s="169"/>
      <c r="H41" s="129"/>
      <c r="I41" t="s">
        <v>1040</v>
      </c>
    </row>
    <row r="42" spans="2:9" x14ac:dyDescent="0.2">
      <c r="B42" s="128">
        <v>44578</v>
      </c>
      <c r="C42" s="127" t="s">
        <v>721</v>
      </c>
      <c r="D42" s="127">
        <v>-166.22</v>
      </c>
      <c r="E42" s="127" t="s">
        <v>672</v>
      </c>
      <c r="F42" s="127" t="s">
        <v>746</v>
      </c>
      <c r="G42" s="170"/>
      <c r="H42" s="129"/>
      <c r="I42" t="s">
        <v>1040</v>
      </c>
    </row>
    <row r="43" spans="2:9" x14ac:dyDescent="0.2">
      <c r="B43" s="128">
        <v>44578</v>
      </c>
      <c r="C43" s="127" t="s">
        <v>721</v>
      </c>
      <c r="D43" s="127">
        <v>700</v>
      </c>
      <c r="E43" s="127" t="s">
        <v>661</v>
      </c>
      <c r="F43" s="127" t="s">
        <v>790</v>
      </c>
      <c r="G43" s="132" t="s">
        <v>504</v>
      </c>
      <c r="H43" s="46" t="s">
        <v>986</v>
      </c>
      <c r="I43" t="s">
        <v>1041</v>
      </c>
    </row>
    <row r="44" spans="2:9" x14ac:dyDescent="0.2">
      <c r="B44" s="128">
        <v>44580</v>
      </c>
      <c r="C44" s="127" t="s">
        <v>721</v>
      </c>
      <c r="D44" s="127">
        <v>-29.05</v>
      </c>
      <c r="E44" s="127" t="s">
        <v>662</v>
      </c>
      <c r="F44" s="127" t="s">
        <v>959</v>
      </c>
      <c r="G44" s="132" t="s">
        <v>495</v>
      </c>
      <c r="H44" s="127" t="s">
        <v>959</v>
      </c>
      <c r="I44" t="s">
        <v>1038</v>
      </c>
    </row>
    <row r="45" spans="2:9" x14ac:dyDescent="0.2">
      <c r="B45" s="128">
        <v>44581</v>
      </c>
      <c r="C45" s="127" t="s">
        <v>721</v>
      </c>
      <c r="D45" s="127">
        <v>474.9</v>
      </c>
      <c r="E45" s="127" t="s">
        <v>691</v>
      </c>
      <c r="F45" s="127" t="s">
        <v>748</v>
      </c>
      <c r="G45" s="172"/>
      <c r="H45" s="129"/>
      <c r="I45" t="s">
        <v>1039</v>
      </c>
    </row>
    <row r="46" spans="2:9" x14ac:dyDescent="0.2">
      <c r="B46" s="128">
        <v>44581</v>
      </c>
      <c r="C46" s="127" t="s">
        <v>721</v>
      </c>
      <c r="D46" s="127">
        <v>-36.880000000000003</v>
      </c>
      <c r="E46" s="127" t="s">
        <v>672</v>
      </c>
      <c r="F46" s="127" t="s">
        <v>749</v>
      </c>
      <c r="G46" s="169"/>
      <c r="H46" s="129"/>
      <c r="I46" t="s">
        <v>1039</v>
      </c>
    </row>
    <row r="47" spans="2:9" x14ac:dyDescent="0.2">
      <c r="B47" s="128">
        <v>44582</v>
      </c>
      <c r="C47" s="127" t="s">
        <v>721</v>
      </c>
      <c r="D47" s="127">
        <v>625</v>
      </c>
      <c r="E47" s="127" t="s">
        <v>691</v>
      </c>
      <c r="F47" s="127" t="s">
        <v>747</v>
      </c>
      <c r="G47" s="132" t="s">
        <v>485</v>
      </c>
      <c r="H47" s="46" t="s">
        <v>1010</v>
      </c>
      <c r="I47" t="s">
        <v>1041</v>
      </c>
    </row>
    <row r="48" spans="2:9" x14ac:dyDescent="0.2">
      <c r="B48" s="128">
        <v>44582</v>
      </c>
      <c r="C48" s="127" t="s">
        <v>721</v>
      </c>
      <c r="D48" s="127">
        <v>69.86</v>
      </c>
      <c r="E48" s="127" t="s">
        <v>691</v>
      </c>
      <c r="F48" s="127" t="s">
        <v>755</v>
      </c>
      <c r="G48" s="172"/>
      <c r="H48" s="129"/>
      <c r="I48" t="s">
        <v>1039</v>
      </c>
    </row>
    <row r="49" spans="2:9" x14ac:dyDescent="0.2">
      <c r="B49" s="128">
        <v>44582</v>
      </c>
      <c r="C49" s="127" t="s">
        <v>721</v>
      </c>
      <c r="D49" s="127">
        <v>391.47</v>
      </c>
      <c r="E49" s="127" t="s">
        <v>691</v>
      </c>
      <c r="F49" s="127" t="s">
        <v>750</v>
      </c>
      <c r="G49" s="171"/>
      <c r="I49" t="s">
        <v>1039</v>
      </c>
    </row>
    <row r="50" spans="2:9" x14ac:dyDescent="0.2">
      <c r="B50" s="128">
        <v>44585</v>
      </c>
      <c r="C50" s="127" t="s">
        <v>721</v>
      </c>
      <c r="D50" s="127">
        <v>-10</v>
      </c>
      <c r="E50" s="127" t="s">
        <v>672</v>
      </c>
      <c r="F50" s="127" t="s">
        <v>751</v>
      </c>
      <c r="G50" s="170"/>
      <c r="H50" s="129"/>
      <c r="I50" t="s">
        <v>1039</v>
      </c>
    </row>
    <row r="51" spans="2:9" x14ac:dyDescent="0.2">
      <c r="B51" s="128">
        <v>44586</v>
      </c>
      <c r="C51" s="127" t="s">
        <v>721</v>
      </c>
      <c r="D51" s="127">
        <v>600</v>
      </c>
      <c r="E51" s="127" t="s">
        <v>697</v>
      </c>
      <c r="F51" s="127" t="s">
        <v>752</v>
      </c>
      <c r="G51" s="132" t="s">
        <v>491</v>
      </c>
      <c r="H51" s="46" t="s">
        <v>988</v>
      </c>
      <c r="I51" t="s">
        <v>1041</v>
      </c>
    </row>
    <row r="52" spans="2:9" x14ac:dyDescent="0.2">
      <c r="B52" s="128">
        <v>44586</v>
      </c>
      <c r="C52" s="127" t="s">
        <v>721</v>
      </c>
      <c r="D52" s="127">
        <v>-10</v>
      </c>
      <c r="E52" s="127" t="s">
        <v>672</v>
      </c>
      <c r="F52" s="127" t="s">
        <v>753</v>
      </c>
      <c r="G52" s="170"/>
      <c r="I52" t="s">
        <v>1039</v>
      </c>
    </row>
    <row r="53" spans="2:9" x14ac:dyDescent="0.2">
      <c r="B53" s="128">
        <v>44587</v>
      </c>
      <c r="C53" s="127" t="s">
        <v>721</v>
      </c>
      <c r="D53" s="127">
        <v>-23</v>
      </c>
      <c r="E53" s="127" t="s">
        <v>672</v>
      </c>
      <c r="F53" s="127" t="s">
        <v>960</v>
      </c>
      <c r="G53" s="170"/>
      <c r="H53" s="129"/>
      <c r="I53" t="s">
        <v>1039</v>
      </c>
    </row>
    <row r="54" spans="2:9" x14ac:dyDescent="0.2">
      <c r="B54" s="128">
        <v>44588</v>
      </c>
      <c r="C54" s="127" t="s">
        <v>721</v>
      </c>
      <c r="D54" s="127">
        <v>775</v>
      </c>
      <c r="E54" s="127" t="s">
        <v>691</v>
      </c>
      <c r="F54" s="127" t="s">
        <v>756</v>
      </c>
      <c r="G54" s="132" t="s">
        <v>476</v>
      </c>
      <c r="H54" s="46" t="s">
        <v>984</v>
      </c>
      <c r="I54" t="s">
        <v>1041</v>
      </c>
    </row>
    <row r="55" spans="2:9" x14ac:dyDescent="0.2">
      <c r="B55" s="128">
        <v>44588</v>
      </c>
      <c r="C55" s="127" t="s">
        <v>721</v>
      </c>
      <c r="D55" s="127">
        <v>311.8</v>
      </c>
      <c r="E55" s="127" t="s">
        <v>691</v>
      </c>
      <c r="F55" s="127" t="s">
        <v>754</v>
      </c>
      <c r="G55" s="172"/>
      <c r="H55" s="129"/>
      <c r="I55" t="s">
        <v>1039</v>
      </c>
    </row>
    <row r="56" spans="2:9" x14ac:dyDescent="0.2">
      <c r="B56" s="128">
        <v>44588</v>
      </c>
      <c r="C56" s="127" t="s">
        <v>721</v>
      </c>
      <c r="D56" s="127">
        <v>-1200</v>
      </c>
      <c r="E56" s="127" t="s">
        <v>663</v>
      </c>
      <c r="F56" s="127" t="s">
        <v>757</v>
      </c>
      <c r="G56" s="175"/>
      <c r="I56" t="s">
        <v>1039</v>
      </c>
    </row>
    <row r="57" spans="2:9" x14ac:dyDescent="0.2">
      <c r="B57" s="128">
        <v>44589</v>
      </c>
      <c r="C57" s="127" t="s">
        <v>721</v>
      </c>
      <c r="D57" s="127">
        <v>-33</v>
      </c>
      <c r="E57" s="127" t="s">
        <v>672</v>
      </c>
      <c r="F57" s="127" t="s">
        <v>758</v>
      </c>
      <c r="G57" s="170"/>
      <c r="H57" s="129"/>
      <c r="I57" t="s">
        <v>1039</v>
      </c>
    </row>
    <row r="58" spans="2:9" x14ac:dyDescent="0.2">
      <c r="B58" s="128">
        <v>44592</v>
      </c>
      <c r="C58" s="127" t="s">
        <v>721</v>
      </c>
      <c r="D58" s="127">
        <v>-54</v>
      </c>
      <c r="E58" s="127" t="s">
        <v>662</v>
      </c>
      <c r="F58" s="127" t="s">
        <v>961</v>
      </c>
      <c r="G58" s="132" t="s">
        <v>489</v>
      </c>
      <c r="H58" s="127" t="s">
        <v>961</v>
      </c>
      <c r="I58" t="s">
        <v>1038</v>
      </c>
    </row>
    <row r="59" spans="2:9" x14ac:dyDescent="0.2">
      <c r="B59" s="128">
        <v>44592</v>
      </c>
      <c r="C59" s="127" t="s">
        <v>721</v>
      </c>
      <c r="D59" s="127">
        <v>720</v>
      </c>
      <c r="E59" s="127" t="s">
        <v>691</v>
      </c>
      <c r="F59" s="127" t="s">
        <v>732</v>
      </c>
      <c r="G59" s="132" t="s">
        <v>474</v>
      </c>
      <c r="H59" s="46" t="s">
        <v>989</v>
      </c>
      <c r="I59" t="s">
        <v>1041</v>
      </c>
    </row>
    <row r="60" spans="2:9" x14ac:dyDescent="0.2">
      <c r="B60" s="128">
        <v>44592</v>
      </c>
      <c r="C60" s="127" t="s">
        <v>721</v>
      </c>
      <c r="D60" s="127">
        <v>855</v>
      </c>
      <c r="E60" s="127" t="s">
        <v>697</v>
      </c>
      <c r="F60" s="127" t="s">
        <v>789</v>
      </c>
      <c r="G60" s="132" t="s">
        <v>486</v>
      </c>
      <c r="H60" s="46" t="s">
        <v>991</v>
      </c>
      <c r="I60" t="s">
        <v>1041</v>
      </c>
    </row>
    <row r="61" spans="2:9" x14ac:dyDescent="0.2">
      <c r="B61" s="128"/>
    </row>
    <row r="62" spans="2:9" x14ac:dyDescent="0.2">
      <c r="B62" s="128"/>
      <c r="G62" s="129"/>
      <c r="H62" s="129"/>
    </row>
    <row r="63" spans="2:9" x14ac:dyDescent="0.2">
      <c r="B63" s="128"/>
      <c r="G63" s="129"/>
      <c r="H63" s="129"/>
    </row>
    <row r="64" spans="2:9" x14ac:dyDescent="0.2">
      <c r="B64" s="128"/>
      <c r="G64" s="129"/>
      <c r="H64" s="129"/>
    </row>
    <row r="65" spans="1:10" x14ac:dyDescent="0.2">
      <c r="B65" s="128"/>
      <c r="G65" s="129"/>
      <c r="H65" s="129"/>
    </row>
    <row r="66" spans="1:10" x14ac:dyDescent="0.2">
      <c r="A66"/>
      <c r="B66" s="164"/>
      <c r="C66"/>
      <c r="D66"/>
      <c r="E66"/>
      <c r="F66"/>
      <c r="G66"/>
      <c r="H66"/>
      <c r="I66"/>
      <c r="J66"/>
    </row>
    <row r="67" spans="1:10" x14ac:dyDescent="0.2">
      <c r="A67"/>
      <c r="B67" s="164"/>
      <c r="C67"/>
      <c r="D67"/>
      <c r="E67"/>
      <c r="F67"/>
      <c r="G67"/>
      <c r="H67" s="46"/>
      <c r="I67"/>
      <c r="J67"/>
    </row>
    <row r="68" spans="1:10" x14ac:dyDescent="0.2">
      <c r="A68"/>
      <c r="B68" s="164"/>
      <c r="C68"/>
      <c r="D68"/>
      <c r="E68"/>
      <c r="F68"/>
      <c r="G68"/>
      <c r="H68" s="46"/>
      <c r="I68"/>
      <c r="J68"/>
    </row>
    <row r="69" spans="1:10" x14ac:dyDescent="0.2">
      <c r="A69"/>
      <c r="B69" s="164"/>
      <c r="C69"/>
      <c r="D69"/>
      <c r="E69"/>
      <c r="F69"/>
      <c r="G69" s="46"/>
      <c r="H69" s="46"/>
      <c r="I69"/>
      <c r="J69"/>
    </row>
    <row r="70" spans="1:10" x14ac:dyDescent="0.2">
      <c r="A70"/>
      <c r="B70" s="154"/>
      <c r="C70"/>
      <c r="D70"/>
      <c r="E70"/>
      <c r="F70"/>
      <c r="G70"/>
      <c r="H70"/>
      <c r="I70"/>
      <c r="J70"/>
    </row>
    <row r="71" spans="1:10" x14ac:dyDescent="0.2">
      <c r="A71"/>
      <c r="B71" s="154"/>
      <c r="C71"/>
      <c r="D71"/>
      <c r="E71"/>
      <c r="F71"/>
      <c r="G71"/>
      <c r="H71"/>
      <c r="I71"/>
      <c r="J71"/>
    </row>
    <row r="72" spans="1:10" x14ac:dyDescent="0.2">
      <c r="A72"/>
      <c r="B72" s="154"/>
      <c r="C72"/>
      <c r="D72"/>
      <c r="E72"/>
      <c r="F72"/>
      <c r="G72"/>
      <c r="H72"/>
      <c r="I72"/>
      <c r="J72"/>
    </row>
    <row r="73" spans="1:10" x14ac:dyDescent="0.2">
      <c r="A73"/>
      <c r="B73" s="154"/>
      <c r="C73"/>
      <c r="D73"/>
      <c r="E73"/>
      <c r="F73"/>
      <c r="G73"/>
      <c r="H73"/>
      <c r="I73"/>
      <c r="J73"/>
    </row>
    <row r="74" spans="1:10" x14ac:dyDescent="0.2">
      <c r="B74" s="128"/>
      <c r="G74" s="46"/>
      <c r="H74" s="131"/>
    </row>
    <row r="75" spans="1:10" x14ac:dyDescent="0.2">
      <c r="B75" s="128"/>
      <c r="G75" s="46"/>
      <c r="H75" s="129"/>
    </row>
    <row r="76" spans="1:10" x14ac:dyDescent="0.2">
      <c r="B76" s="128"/>
      <c r="G76" s="46"/>
    </row>
    <row r="77" spans="1:10" x14ac:dyDescent="0.2">
      <c r="A77" s="128"/>
      <c r="B77" s="128"/>
      <c r="G77" s="46"/>
      <c r="H77" s="129"/>
    </row>
    <row r="78" spans="1:10" x14ac:dyDescent="0.2">
      <c r="A78" s="128"/>
      <c r="B78" s="128"/>
      <c r="G78" s="46"/>
    </row>
    <row r="79" spans="1:10" x14ac:dyDescent="0.2">
      <c r="A79" s="128"/>
      <c r="B79" s="128"/>
      <c r="G79" s="46"/>
    </row>
    <row r="80" spans="1:10" x14ac:dyDescent="0.2">
      <c r="A80" s="128"/>
      <c r="B80" s="128"/>
      <c r="G80" s="46"/>
    </row>
    <row r="81" spans="2:14" x14ac:dyDescent="0.2">
      <c r="B81" s="128"/>
      <c r="G81" s="46"/>
    </row>
    <row r="82" spans="2:14" x14ac:dyDescent="0.2">
      <c r="B82" s="128"/>
      <c r="G82" s="46"/>
    </row>
    <row r="83" spans="2:14" x14ac:dyDescent="0.2">
      <c r="B83" s="128"/>
      <c r="G83" s="46"/>
    </row>
    <row r="84" spans="2:14" x14ac:dyDescent="0.2">
      <c r="B84" s="128"/>
      <c r="G84" s="46"/>
    </row>
    <row r="85" spans="2:14" x14ac:dyDescent="0.2">
      <c r="B85" s="128"/>
      <c r="G85" s="46"/>
      <c r="H85" s="129"/>
    </row>
    <row r="86" spans="2:14" x14ac:dyDescent="0.2">
      <c r="B86" s="128"/>
      <c r="G86" s="46"/>
      <c r="H86" s="129"/>
    </row>
    <row r="87" spans="2:14" x14ac:dyDescent="0.2">
      <c r="B87" s="128"/>
      <c r="G87" s="46"/>
    </row>
    <row r="88" spans="2:14" x14ac:dyDescent="0.2">
      <c r="B88" s="128"/>
      <c r="G88" s="46"/>
      <c r="H88" s="129"/>
    </row>
    <row r="89" spans="2:14" x14ac:dyDescent="0.2">
      <c r="B89" s="128"/>
      <c r="G89" s="46"/>
      <c r="H89" s="131"/>
      <c r="N89" s="129"/>
    </row>
    <row r="90" spans="2:14" x14ac:dyDescent="0.2">
      <c r="B90" s="128"/>
      <c r="G90" s="46"/>
      <c r="H90" s="131"/>
    </row>
    <row r="91" spans="2:14" x14ac:dyDescent="0.2">
      <c r="B91" s="128"/>
      <c r="G91" s="46"/>
    </row>
    <row r="92" spans="2:14" x14ac:dyDescent="0.2">
      <c r="B92" s="128"/>
      <c r="G92" s="46"/>
    </row>
    <row r="93" spans="2:14" x14ac:dyDescent="0.2">
      <c r="B93" s="128"/>
      <c r="G93" s="46"/>
    </row>
    <row r="94" spans="2:14" x14ac:dyDescent="0.2">
      <c r="B94" s="128"/>
      <c r="G94" s="46"/>
      <c r="H94" s="129"/>
    </row>
  </sheetData>
  <autoFilter ref="A1:I94" xr:uid="{7860C3E7-B480-431C-8759-8A91A5D52234}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zoomScale="70" zoomScaleNormal="70" workbookViewId="0">
      <selection activeCell="B2" sqref="B2:F103"/>
    </sheetView>
  </sheetViews>
  <sheetFormatPr defaultColWidth="9.140625" defaultRowHeight="12.75" x14ac:dyDescent="0.2"/>
  <cols>
    <col min="1" max="1" width="9.140625" style="127"/>
    <col min="2" max="2" width="10.140625" style="127" bestFit="1" customWidth="1"/>
    <col min="3" max="3" width="17.28515625" style="127" bestFit="1" customWidth="1"/>
    <col min="4" max="4" width="9.140625" style="127"/>
    <col min="5" max="5" width="12.85546875" style="127" customWidth="1"/>
    <col min="6" max="6" width="50.140625" style="127" bestFit="1" customWidth="1"/>
    <col min="7" max="7" width="10.7109375" style="127" bestFit="1" customWidth="1"/>
    <col min="8" max="8" width="25.140625" style="127" customWidth="1"/>
    <col min="9" max="9" width="8.7109375" style="127" bestFit="1" customWidth="1"/>
    <col min="10" max="16384" width="9.140625" style="127"/>
  </cols>
  <sheetData>
    <row r="1" spans="1:9" x14ac:dyDescent="0.2">
      <c r="A1" s="127" t="s">
        <v>506</v>
      </c>
      <c r="B1" s="127" t="s">
        <v>507</v>
      </c>
      <c r="C1" s="127" t="s">
        <v>508</v>
      </c>
      <c r="D1" s="127" t="s">
        <v>509</v>
      </c>
      <c r="E1" s="127" t="s">
        <v>510</v>
      </c>
      <c r="F1" s="127" t="s">
        <v>511</v>
      </c>
      <c r="G1" s="129" t="s">
        <v>24</v>
      </c>
      <c r="H1" s="129" t="s">
        <v>542</v>
      </c>
      <c r="I1" s="129" t="s">
        <v>543</v>
      </c>
    </row>
    <row r="2" spans="1:9" x14ac:dyDescent="0.2">
      <c r="B2" s="128">
        <v>44565</v>
      </c>
      <c r="C2" s="127" t="s">
        <v>759</v>
      </c>
      <c r="D2" s="127">
        <v>-2.2000000000000002</v>
      </c>
      <c r="E2" s="127" t="s">
        <v>662</v>
      </c>
      <c r="F2" s="127" t="s">
        <v>822</v>
      </c>
    </row>
    <row r="3" spans="1:9" x14ac:dyDescent="0.2">
      <c r="B3" s="128">
        <v>44565</v>
      </c>
      <c r="C3" s="127" t="s">
        <v>759</v>
      </c>
      <c r="D3" s="127">
        <v>-65.16</v>
      </c>
      <c r="E3" s="127" t="s">
        <v>662</v>
      </c>
      <c r="F3" s="127" t="s">
        <v>823</v>
      </c>
    </row>
    <row r="4" spans="1:9" x14ac:dyDescent="0.2">
      <c r="B4" s="128">
        <v>44565</v>
      </c>
      <c r="C4" s="127" t="s">
        <v>759</v>
      </c>
      <c r="D4" s="127">
        <v>-147.49</v>
      </c>
      <c r="E4" s="127" t="s">
        <v>662</v>
      </c>
      <c r="F4" s="127" t="s">
        <v>824</v>
      </c>
    </row>
    <row r="5" spans="1:9" x14ac:dyDescent="0.2">
      <c r="B5" s="128">
        <v>44565</v>
      </c>
      <c r="C5" s="127" t="s">
        <v>759</v>
      </c>
      <c r="D5" s="127">
        <v>-87.3</v>
      </c>
      <c r="E5" s="127" t="s">
        <v>662</v>
      </c>
      <c r="F5" s="127" t="s">
        <v>825</v>
      </c>
    </row>
    <row r="6" spans="1:9" x14ac:dyDescent="0.2">
      <c r="B6" s="128">
        <v>44565</v>
      </c>
      <c r="C6" s="127" t="s">
        <v>759</v>
      </c>
      <c r="D6" s="127">
        <v>-2.99</v>
      </c>
      <c r="E6" s="127" t="s">
        <v>662</v>
      </c>
      <c r="F6" s="127" t="s">
        <v>826</v>
      </c>
    </row>
    <row r="7" spans="1:9" x14ac:dyDescent="0.2">
      <c r="B7" s="128">
        <v>44565</v>
      </c>
      <c r="C7" s="127" t="s">
        <v>759</v>
      </c>
      <c r="D7" s="127">
        <v>26.09</v>
      </c>
      <c r="E7" s="127" t="s">
        <v>679</v>
      </c>
      <c r="F7" s="127" t="s">
        <v>827</v>
      </c>
    </row>
    <row r="8" spans="1:9" x14ac:dyDescent="0.2">
      <c r="B8" s="128">
        <v>44565</v>
      </c>
      <c r="C8" s="127" t="s">
        <v>759</v>
      </c>
      <c r="D8" s="127">
        <v>-9</v>
      </c>
      <c r="E8" s="127" t="s">
        <v>662</v>
      </c>
      <c r="F8" s="127" t="s">
        <v>828</v>
      </c>
    </row>
    <row r="9" spans="1:9" x14ac:dyDescent="0.2">
      <c r="B9" s="128">
        <v>44565</v>
      </c>
      <c r="C9" s="127" t="s">
        <v>759</v>
      </c>
      <c r="D9" s="127">
        <v>-21</v>
      </c>
      <c r="E9" s="127" t="s">
        <v>662</v>
      </c>
      <c r="F9" s="127" t="s">
        <v>829</v>
      </c>
    </row>
    <row r="10" spans="1:9" x14ac:dyDescent="0.2">
      <c r="B10" s="128">
        <v>44565</v>
      </c>
      <c r="C10" s="127" t="s">
        <v>759</v>
      </c>
      <c r="D10" s="127">
        <v>-31.65</v>
      </c>
      <c r="E10" s="127" t="s">
        <v>662</v>
      </c>
      <c r="F10" s="127" t="s">
        <v>830</v>
      </c>
    </row>
    <row r="11" spans="1:9" x14ac:dyDescent="0.2">
      <c r="B11" s="128">
        <v>44565</v>
      </c>
      <c r="C11" s="127" t="s">
        <v>759</v>
      </c>
      <c r="D11" s="127">
        <v>-7.04</v>
      </c>
      <c r="E11" s="127" t="s">
        <v>662</v>
      </c>
      <c r="F11" s="127" t="s">
        <v>830</v>
      </c>
    </row>
    <row r="12" spans="1:9" x14ac:dyDescent="0.2">
      <c r="B12" s="128">
        <v>44565</v>
      </c>
      <c r="C12" s="127" t="s">
        <v>759</v>
      </c>
      <c r="D12" s="127">
        <v>-73.11</v>
      </c>
      <c r="E12" s="127" t="s">
        <v>662</v>
      </c>
      <c r="F12" s="127" t="s">
        <v>831</v>
      </c>
    </row>
    <row r="13" spans="1:9" x14ac:dyDescent="0.2">
      <c r="B13" s="128">
        <v>44565</v>
      </c>
      <c r="C13" s="127" t="s">
        <v>759</v>
      </c>
      <c r="D13" s="127">
        <v>-47.77</v>
      </c>
      <c r="E13" s="127" t="s">
        <v>662</v>
      </c>
      <c r="F13" s="127" t="s">
        <v>832</v>
      </c>
    </row>
    <row r="14" spans="1:9" x14ac:dyDescent="0.2">
      <c r="B14" s="128">
        <v>44566</v>
      </c>
      <c r="C14" s="127" t="s">
        <v>759</v>
      </c>
      <c r="D14" s="127">
        <v>-87.53</v>
      </c>
      <c r="E14" s="127" t="s">
        <v>662</v>
      </c>
      <c r="F14" s="127" t="s">
        <v>833</v>
      </c>
    </row>
    <row r="15" spans="1:9" x14ac:dyDescent="0.2">
      <c r="B15" s="128">
        <v>44566</v>
      </c>
      <c r="C15" s="127" t="s">
        <v>759</v>
      </c>
      <c r="D15" s="127">
        <v>-1.9</v>
      </c>
      <c r="E15" s="127" t="s">
        <v>662</v>
      </c>
      <c r="F15" s="127" t="s">
        <v>834</v>
      </c>
    </row>
    <row r="16" spans="1:9" x14ac:dyDescent="0.2">
      <c r="B16" s="128">
        <v>44566</v>
      </c>
      <c r="C16" s="127" t="s">
        <v>759</v>
      </c>
      <c r="D16" s="127">
        <v>-1.45</v>
      </c>
      <c r="E16" s="127" t="s">
        <v>662</v>
      </c>
      <c r="F16" s="127" t="s">
        <v>834</v>
      </c>
    </row>
    <row r="17" spans="2:6" x14ac:dyDescent="0.2">
      <c r="B17" s="128">
        <v>44567</v>
      </c>
      <c r="C17" s="127" t="s">
        <v>759</v>
      </c>
      <c r="D17" s="127">
        <v>-29.6</v>
      </c>
      <c r="E17" s="127" t="s">
        <v>662</v>
      </c>
      <c r="F17" s="127" t="s">
        <v>835</v>
      </c>
    </row>
    <row r="18" spans="2:6" x14ac:dyDescent="0.2">
      <c r="B18" s="128">
        <v>44567</v>
      </c>
      <c r="C18" s="127" t="s">
        <v>759</v>
      </c>
      <c r="D18" s="127">
        <v>-4.7</v>
      </c>
      <c r="E18" s="127" t="s">
        <v>662</v>
      </c>
      <c r="F18" s="127" t="s">
        <v>836</v>
      </c>
    </row>
    <row r="19" spans="2:6" x14ac:dyDescent="0.2">
      <c r="B19" s="128">
        <v>44567</v>
      </c>
      <c r="C19" s="127" t="s">
        <v>759</v>
      </c>
      <c r="D19" s="127">
        <v>-22.67</v>
      </c>
      <c r="E19" s="127" t="s">
        <v>662</v>
      </c>
      <c r="F19" s="127" t="s">
        <v>837</v>
      </c>
    </row>
    <row r="20" spans="2:6" x14ac:dyDescent="0.2">
      <c r="B20" s="128">
        <v>44567</v>
      </c>
      <c r="C20" s="127" t="s">
        <v>759</v>
      </c>
      <c r="D20" s="127">
        <v>-27.98</v>
      </c>
      <c r="E20" s="127" t="s">
        <v>662</v>
      </c>
      <c r="F20" s="127" t="s">
        <v>838</v>
      </c>
    </row>
    <row r="21" spans="2:6" x14ac:dyDescent="0.2">
      <c r="B21" s="128">
        <v>44568</v>
      </c>
      <c r="C21" s="127" t="s">
        <v>759</v>
      </c>
      <c r="D21" s="127">
        <v>-48.04</v>
      </c>
      <c r="E21" s="127" t="s">
        <v>662</v>
      </c>
      <c r="F21" s="127" t="s">
        <v>839</v>
      </c>
    </row>
    <row r="22" spans="2:6" x14ac:dyDescent="0.2">
      <c r="B22" s="128">
        <v>44568</v>
      </c>
      <c r="C22" s="127" t="s">
        <v>759</v>
      </c>
      <c r="D22" s="127">
        <v>-3.35</v>
      </c>
      <c r="E22" s="127" t="s">
        <v>662</v>
      </c>
      <c r="F22" s="127" t="s">
        <v>839</v>
      </c>
    </row>
    <row r="23" spans="2:6" x14ac:dyDescent="0.2">
      <c r="B23" s="128">
        <v>44571</v>
      </c>
      <c r="C23" s="127" t="s">
        <v>759</v>
      </c>
      <c r="D23" s="127">
        <v>-97.25</v>
      </c>
      <c r="E23" s="127" t="s">
        <v>662</v>
      </c>
      <c r="F23" s="127" t="s">
        <v>840</v>
      </c>
    </row>
    <row r="24" spans="2:6" x14ac:dyDescent="0.2">
      <c r="B24" s="128">
        <v>44571</v>
      </c>
      <c r="C24" s="127" t="s">
        <v>759</v>
      </c>
      <c r="D24" s="127">
        <v>-21.8</v>
      </c>
      <c r="E24" s="127" t="s">
        <v>662</v>
      </c>
      <c r="F24" s="127" t="s">
        <v>841</v>
      </c>
    </row>
    <row r="25" spans="2:6" x14ac:dyDescent="0.2">
      <c r="B25" s="128">
        <v>44571</v>
      </c>
      <c r="C25" s="127" t="s">
        <v>759</v>
      </c>
      <c r="D25" s="127">
        <v>-55</v>
      </c>
      <c r="E25" s="127" t="s">
        <v>662</v>
      </c>
      <c r="F25" s="127" t="s">
        <v>842</v>
      </c>
    </row>
    <row r="26" spans="2:6" x14ac:dyDescent="0.2">
      <c r="B26" s="128">
        <v>44571</v>
      </c>
      <c r="C26" s="127" t="s">
        <v>759</v>
      </c>
      <c r="D26" s="127">
        <v>-21.65</v>
      </c>
      <c r="E26" s="127" t="s">
        <v>662</v>
      </c>
      <c r="F26" s="127" t="s">
        <v>842</v>
      </c>
    </row>
    <row r="27" spans="2:6" x14ac:dyDescent="0.2">
      <c r="B27" s="128">
        <v>44571</v>
      </c>
      <c r="C27" s="127" t="s">
        <v>759</v>
      </c>
      <c r="D27" s="127">
        <v>-2.5</v>
      </c>
      <c r="E27" s="127" t="s">
        <v>662</v>
      </c>
      <c r="F27" s="127" t="s">
        <v>842</v>
      </c>
    </row>
    <row r="28" spans="2:6" x14ac:dyDescent="0.2">
      <c r="B28" s="128">
        <v>44571</v>
      </c>
      <c r="C28" s="127" t="s">
        <v>759</v>
      </c>
      <c r="D28" s="127">
        <v>-8.35</v>
      </c>
      <c r="E28" s="127" t="s">
        <v>662</v>
      </c>
      <c r="F28" s="127" t="s">
        <v>843</v>
      </c>
    </row>
    <row r="29" spans="2:6" x14ac:dyDescent="0.2">
      <c r="B29" s="128">
        <v>44571</v>
      </c>
      <c r="C29" s="127" t="s">
        <v>759</v>
      </c>
      <c r="D29" s="127">
        <v>-4.5</v>
      </c>
      <c r="E29" s="127" t="s">
        <v>662</v>
      </c>
      <c r="F29" s="127" t="s">
        <v>843</v>
      </c>
    </row>
    <row r="30" spans="2:6" x14ac:dyDescent="0.2">
      <c r="B30" s="128">
        <v>44571</v>
      </c>
      <c r="C30" s="127" t="s">
        <v>759</v>
      </c>
      <c r="D30" s="127">
        <v>-26.6</v>
      </c>
      <c r="E30" s="127" t="s">
        <v>662</v>
      </c>
      <c r="F30" s="127" t="s">
        <v>844</v>
      </c>
    </row>
    <row r="31" spans="2:6" x14ac:dyDescent="0.2">
      <c r="B31" s="128">
        <v>44572</v>
      </c>
      <c r="C31" s="127" t="s">
        <v>759</v>
      </c>
      <c r="D31" s="127">
        <v>-34.630000000000003</v>
      </c>
      <c r="E31" s="127" t="s">
        <v>662</v>
      </c>
      <c r="F31" s="127" t="s">
        <v>845</v>
      </c>
    </row>
    <row r="32" spans="2:6" x14ac:dyDescent="0.2">
      <c r="B32" s="128">
        <v>44572</v>
      </c>
      <c r="C32" s="127" t="s">
        <v>759</v>
      </c>
      <c r="D32" s="127">
        <v>-13.4</v>
      </c>
      <c r="E32" s="127" t="s">
        <v>662</v>
      </c>
      <c r="F32" s="127" t="s">
        <v>846</v>
      </c>
    </row>
    <row r="33" spans="2:6" x14ac:dyDescent="0.2">
      <c r="B33" s="128">
        <v>44572</v>
      </c>
      <c r="C33" s="127" t="s">
        <v>759</v>
      </c>
      <c r="D33" s="127">
        <v>-9.5</v>
      </c>
      <c r="E33" s="127" t="s">
        <v>662</v>
      </c>
      <c r="F33" s="127" t="s">
        <v>847</v>
      </c>
    </row>
    <row r="34" spans="2:6" x14ac:dyDescent="0.2">
      <c r="B34" s="128">
        <v>44572</v>
      </c>
      <c r="C34" s="127" t="s">
        <v>759</v>
      </c>
      <c r="D34" s="127">
        <v>-20</v>
      </c>
      <c r="E34" s="127" t="s">
        <v>662</v>
      </c>
      <c r="F34" s="127" t="s">
        <v>848</v>
      </c>
    </row>
    <row r="35" spans="2:6" x14ac:dyDescent="0.2">
      <c r="B35" s="128">
        <v>44572</v>
      </c>
      <c r="C35" s="127" t="s">
        <v>759</v>
      </c>
      <c r="D35" s="127">
        <v>-19.649999999999999</v>
      </c>
      <c r="E35" s="127" t="s">
        <v>662</v>
      </c>
      <c r="F35" s="127" t="s">
        <v>848</v>
      </c>
    </row>
    <row r="36" spans="2:6" x14ac:dyDescent="0.2">
      <c r="B36" s="128">
        <v>44572</v>
      </c>
      <c r="C36" s="127" t="s">
        <v>759</v>
      </c>
      <c r="D36" s="127">
        <v>-7.49</v>
      </c>
      <c r="E36" s="127" t="s">
        <v>662</v>
      </c>
      <c r="F36" s="127" t="s">
        <v>848</v>
      </c>
    </row>
    <row r="37" spans="2:6" x14ac:dyDescent="0.2">
      <c r="B37" s="128">
        <v>44572</v>
      </c>
      <c r="C37" s="127" t="s">
        <v>759</v>
      </c>
      <c r="D37" s="127">
        <v>-50.26</v>
      </c>
      <c r="E37" s="127" t="s">
        <v>662</v>
      </c>
      <c r="F37" s="127" t="s">
        <v>849</v>
      </c>
    </row>
    <row r="38" spans="2:6" x14ac:dyDescent="0.2">
      <c r="B38" s="128">
        <v>44572</v>
      </c>
      <c r="C38" s="127" t="s">
        <v>759</v>
      </c>
      <c r="D38" s="127">
        <v>-119</v>
      </c>
      <c r="E38" s="127" t="s">
        <v>662</v>
      </c>
      <c r="F38" s="127" t="s">
        <v>850</v>
      </c>
    </row>
    <row r="39" spans="2:6" x14ac:dyDescent="0.2">
      <c r="B39" s="128">
        <v>44572</v>
      </c>
      <c r="C39" s="127" t="s">
        <v>759</v>
      </c>
      <c r="D39" s="127">
        <v>-8</v>
      </c>
      <c r="E39" s="127" t="s">
        <v>672</v>
      </c>
      <c r="F39" s="127" t="s">
        <v>760</v>
      </c>
    </row>
    <row r="40" spans="2:6" x14ac:dyDescent="0.2">
      <c r="B40" s="128">
        <v>44573</v>
      </c>
      <c r="C40" s="127" t="s">
        <v>759</v>
      </c>
      <c r="D40" s="127">
        <v>-20.36</v>
      </c>
      <c r="E40" s="127" t="s">
        <v>662</v>
      </c>
      <c r="F40" s="127" t="s">
        <v>851</v>
      </c>
    </row>
    <row r="41" spans="2:6" x14ac:dyDescent="0.2">
      <c r="B41" s="128">
        <v>44573</v>
      </c>
      <c r="C41" s="127" t="s">
        <v>759</v>
      </c>
      <c r="D41" s="127">
        <v>-4.7</v>
      </c>
      <c r="E41" s="127" t="s">
        <v>662</v>
      </c>
      <c r="F41" s="127" t="s">
        <v>852</v>
      </c>
    </row>
    <row r="42" spans="2:6" x14ac:dyDescent="0.2">
      <c r="B42" s="128">
        <v>44573</v>
      </c>
      <c r="C42" s="127" t="s">
        <v>759</v>
      </c>
      <c r="D42" s="127">
        <v>-8.5399999999999991</v>
      </c>
      <c r="E42" s="127" t="s">
        <v>662</v>
      </c>
      <c r="F42" s="127" t="s">
        <v>853</v>
      </c>
    </row>
    <row r="43" spans="2:6" x14ac:dyDescent="0.2">
      <c r="B43" s="128">
        <v>44574</v>
      </c>
      <c r="C43" s="127" t="s">
        <v>759</v>
      </c>
      <c r="D43" s="127">
        <v>-19.89</v>
      </c>
      <c r="E43" s="127" t="s">
        <v>662</v>
      </c>
      <c r="F43" s="127" t="s">
        <v>854</v>
      </c>
    </row>
    <row r="44" spans="2:6" x14ac:dyDescent="0.2">
      <c r="B44" s="128">
        <v>44574</v>
      </c>
      <c r="C44" s="127" t="s">
        <v>759</v>
      </c>
      <c r="D44" s="127">
        <v>-97.08</v>
      </c>
      <c r="E44" s="127" t="s">
        <v>662</v>
      </c>
      <c r="F44" s="127" t="s">
        <v>855</v>
      </c>
    </row>
    <row r="45" spans="2:6" x14ac:dyDescent="0.2">
      <c r="B45" s="128">
        <v>44575</v>
      </c>
      <c r="C45" s="127" t="s">
        <v>759</v>
      </c>
      <c r="D45" s="127">
        <v>-130</v>
      </c>
      <c r="E45" s="127" t="s">
        <v>695</v>
      </c>
      <c r="F45" s="127" t="s">
        <v>792</v>
      </c>
    </row>
    <row r="46" spans="2:6" x14ac:dyDescent="0.2">
      <c r="B46" s="128">
        <v>44575</v>
      </c>
      <c r="C46" s="127" t="s">
        <v>759</v>
      </c>
      <c r="D46" s="127">
        <v>-40</v>
      </c>
      <c r="E46" s="127" t="s">
        <v>662</v>
      </c>
      <c r="F46" s="127" t="s">
        <v>856</v>
      </c>
    </row>
    <row r="47" spans="2:6" x14ac:dyDescent="0.2">
      <c r="B47" s="128">
        <v>44575</v>
      </c>
      <c r="C47" s="127" t="s">
        <v>759</v>
      </c>
      <c r="D47" s="127">
        <v>500</v>
      </c>
      <c r="E47" s="127" t="s">
        <v>661</v>
      </c>
      <c r="F47" s="127" t="s">
        <v>761</v>
      </c>
    </row>
    <row r="48" spans="2:6" x14ac:dyDescent="0.2">
      <c r="B48" s="128">
        <v>44578</v>
      </c>
      <c r="C48" s="127" t="s">
        <v>759</v>
      </c>
      <c r="D48" s="127">
        <v>-3.42</v>
      </c>
      <c r="E48" s="127" t="s">
        <v>662</v>
      </c>
      <c r="F48" s="127" t="s">
        <v>857</v>
      </c>
    </row>
    <row r="49" spans="2:6" x14ac:dyDescent="0.2">
      <c r="B49" s="128">
        <v>44578</v>
      </c>
      <c r="C49" s="127" t="s">
        <v>759</v>
      </c>
      <c r="D49" s="127">
        <v>-83.87</v>
      </c>
      <c r="E49" s="127" t="s">
        <v>662</v>
      </c>
      <c r="F49" s="127" t="s">
        <v>858</v>
      </c>
    </row>
    <row r="50" spans="2:6" x14ac:dyDescent="0.2">
      <c r="B50" s="128">
        <v>44578</v>
      </c>
      <c r="C50" s="127" t="s">
        <v>759</v>
      </c>
      <c r="D50" s="127">
        <v>-16.739999999999998</v>
      </c>
      <c r="E50" s="127" t="s">
        <v>662</v>
      </c>
      <c r="F50" s="127" t="s">
        <v>859</v>
      </c>
    </row>
    <row r="51" spans="2:6" x14ac:dyDescent="0.2">
      <c r="B51" s="128">
        <v>44578</v>
      </c>
      <c r="C51" s="127" t="s">
        <v>759</v>
      </c>
      <c r="D51" s="127">
        <v>-52.3</v>
      </c>
      <c r="E51" s="127" t="s">
        <v>662</v>
      </c>
      <c r="F51" s="127" t="s">
        <v>860</v>
      </c>
    </row>
    <row r="52" spans="2:6" x14ac:dyDescent="0.2">
      <c r="B52" s="128">
        <v>44578</v>
      </c>
      <c r="C52" s="127" t="s">
        <v>759</v>
      </c>
      <c r="D52" s="127">
        <v>-16.5</v>
      </c>
      <c r="E52" s="127" t="s">
        <v>662</v>
      </c>
      <c r="F52" s="127" t="s">
        <v>861</v>
      </c>
    </row>
    <row r="53" spans="2:6" x14ac:dyDescent="0.2">
      <c r="B53" s="128">
        <v>44578</v>
      </c>
      <c r="C53" s="127" t="s">
        <v>759</v>
      </c>
      <c r="D53" s="127">
        <v>-41.7</v>
      </c>
      <c r="E53" s="127" t="s">
        <v>662</v>
      </c>
      <c r="F53" s="127" t="s">
        <v>862</v>
      </c>
    </row>
    <row r="54" spans="2:6" x14ac:dyDescent="0.2">
      <c r="B54" s="128">
        <v>44578</v>
      </c>
      <c r="C54" s="127" t="s">
        <v>759</v>
      </c>
      <c r="D54" s="127">
        <v>-6.85</v>
      </c>
      <c r="E54" s="127" t="s">
        <v>662</v>
      </c>
      <c r="F54" s="127" t="s">
        <v>863</v>
      </c>
    </row>
    <row r="55" spans="2:6" x14ac:dyDescent="0.2">
      <c r="B55" s="128">
        <v>44578</v>
      </c>
      <c r="C55" s="127" t="s">
        <v>759</v>
      </c>
      <c r="D55" s="127">
        <v>-7.95</v>
      </c>
      <c r="E55" s="127" t="s">
        <v>662</v>
      </c>
      <c r="F55" s="127" t="s">
        <v>864</v>
      </c>
    </row>
    <row r="56" spans="2:6" x14ac:dyDescent="0.2">
      <c r="B56" s="128">
        <v>44578</v>
      </c>
      <c r="C56" s="127" t="s">
        <v>759</v>
      </c>
      <c r="D56" s="127">
        <v>-2</v>
      </c>
      <c r="E56" s="127" t="s">
        <v>662</v>
      </c>
      <c r="F56" s="127" t="s">
        <v>864</v>
      </c>
    </row>
    <row r="57" spans="2:6" x14ac:dyDescent="0.2">
      <c r="B57" s="128">
        <v>44578</v>
      </c>
      <c r="C57" s="127" t="s">
        <v>759</v>
      </c>
      <c r="D57" s="127">
        <v>-9.14</v>
      </c>
      <c r="E57" s="127" t="s">
        <v>662</v>
      </c>
      <c r="F57" s="127" t="s">
        <v>865</v>
      </c>
    </row>
    <row r="58" spans="2:6" x14ac:dyDescent="0.2">
      <c r="B58" s="128">
        <v>44578</v>
      </c>
      <c r="C58" s="127" t="s">
        <v>759</v>
      </c>
      <c r="D58" s="127">
        <v>-18.899999999999999</v>
      </c>
      <c r="E58" s="127" t="s">
        <v>662</v>
      </c>
      <c r="F58" s="127" t="s">
        <v>866</v>
      </c>
    </row>
    <row r="59" spans="2:6" x14ac:dyDescent="0.2">
      <c r="B59" s="128">
        <v>44578</v>
      </c>
      <c r="C59" s="127" t="s">
        <v>759</v>
      </c>
      <c r="D59" s="127">
        <v>-3.2</v>
      </c>
      <c r="E59" s="127" t="s">
        <v>662</v>
      </c>
      <c r="F59" s="127" t="s">
        <v>866</v>
      </c>
    </row>
    <row r="60" spans="2:6" x14ac:dyDescent="0.2">
      <c r="B60" s="128">
        <v>44578</v>
      </c>
      <c r="C60" s="127" t="s">
        <v>759</v>
      </c>
      <c r="D60" s="127">
        <v>-21.26</v>
      </c>
      <c r="E60" s="127" t="s">
        <v>662</v>
      </c>
      <c r="F60" s="127" t="s">
        <v>867</v>
      </c>
    </row>
    <row r="61" spans="2:6" x14ac:dyDescent="0.2">
      <c r="B61" s="128">
        <v>44578</v>
      </c>
      <c r="C61" s="127" t="s">
        <v>759</v>
      </c>
      <c r="D61" s="127">
        <v>-49.85</v>
      </c>
      <c r="E61" s="127" t="s">
        <v>662</v>
      </c>
      <c r="F61" s="127" t="s">
        <v>868</v>
      </c>
    </row>
    <row r="62" spans="2:6" x14ac:dyDescent="0.2">
      <c r="B62" s="128">
        <v>44578</v>
      </c>
      <c r="C62" s="127" t="s">
        <v>759</v>
      </c>
      <c r="D62" s="127">
        <v>-55.23</v>
      </c>
      <c r="E62" s="127" t="s">
        <v>662</v>
      </c>
      <c r="F62" s="127" t="s">
        <v>869</v>
      </c>
    </row>
    <row r="63" spans="2:6" x14ac:dyDescent="0.2">
      <c r="B63" s="128">
        <v>44579</v>
      </c>
      <c r="C63" s="127" t="s">
        <v>759</v>
      </c>
      <c r="D63" s="127">
        <v>-24.38</v>
      </c>
      <c r="E63" s="127" t="s">
        <v>662</v>
      </c>
      <c r="F63" s="127" t="s">
        <v>870</v>
      </c>
    </row>
    <row r="64" spans="2:6" x14ac:dyDescent="0.2">
      <c r="B64" s="128">
        <v>44580</v>
      </c>
      <c r="C64" s="127" t="s">
        <v>759</v>
      </c>
      <c r="D64" s="127">
        <v>-6.78</v>
      </c>
      <c r="E64" s="127" t="s">
        <v>662</v>
      </c>
      <c r="F64" s="127" t="s">
        <v>871</v>
      </c>
    </row>
    <row r="65" spans="2:6" x14ac:dyDescent="0.2">
      <c r="B65" s="128">
        <v>44580</v>
      </c>
      <c r="C65" s="127" t="s">
        <v>759</v>
      </c>
      <c r="D65" s="127">
        <v>-41.6</v>
      </c>
      <c r="E65" s="127" t="s">
        <v>662</v>
      </c>
      <c r="F65" s="127" t="s">
        <v>872</v>
      </c>
    </row>
    <row r="66" spans="2:6" x14ac:dyDescent="0.2">
      <c r="B66" s="128">
        <v>44580</v>
      </c>
      <c r="C66" s="127" t="s">
        <v>759</v>
      </c>
      <c r="D66" s="127">
        <v>-10.1</v>
      </c>
      <c r="E66" s="127" t="s">
        <v>662</v>
      </c>
      <c r="F66" s="127" t="s">
        <v>873</v>
      </c>
    </row>
    <row r="67" spans="2:6" x14ac:dyDescent="0.2">
      <c r="B67" s="128">
        <v>44580</v>
      </c>
      <c r="C67" s="127" t="s">
        <v>759</v>
      </c>
      <c r="D67" s="127">
        <v>-54.61</v>
      </c>
      <c r="E67" s="127" t="s">
        <v>662</v>
      </c>
      <c r="F67" s="127" t="s">
        <v>874</v>
      </c>
    </row>
    <row r="68" spans="2:6" x14ac:dyDescent="0.2">
      <c r="B68" s="128">
        <v>44580</v>
      </c>
      <c r="C68" s="127" t="s">
        <v>759</v>
      </c>
      <c r="D68" s="127">
        <v>-14.99</v>
      </c>
      <c r="E68" s="127" t="s">
        <v>662</v>
      </c>
      <c r="F68" s="127" t="s">
        <v>875</v>
      </c>
    </row>
    <row r="69" spans="2:6" x14ac:dyDescent="0.2">
      <c r="B69" s="128">
        <v>44580</v>
      </c>
      <c r="C69" s="127" t="s">
        <v>759</v>
      </c>
      <c r="D69" s="127">
        <v>-7.99</v>
      </c>
      <c r="E69" s="127" t="s">
        <v>662</v>
      </c>
      <c r="F69" s="127" t="s">
        <v>876</v>
      </c>
    </row>
    <row r="70" spans="2:6" x14ac:dyDescent="0.2">
      <c r="B70" s="128">
        <v>44581</v>
      </c>
      <c r="C70" s="127" t="s">
        <v>759</v>
      </c>
      <c r="D70" s="127">
        <v>-5</v>
      </c>
      <c r="E70" s="127" t="s">
        <v>662</v>
      </c>
      <c r="F70" s="127" t="s">
        <v>877</v>
      </c>
    </row>
    <row r="71" spans="2:6" x14ac:dyDescent="0.2">
      <c r="B71" s="128">
        <v>44581</v>
      </c>
      <c r="C71" s="127" t="s">
        <v>759</v>
      </c>
      <c r="D71" s="127">
        <v>-2.1</v>
      </c>
      <c r="E71" s="127" t="s">
        <v>662</v>
      </c>
      <c r="F71" s="127" t="s">
        <v>878</v>
      </c>
    </row>
    <row r="72" spans="2:6" x14ac:dyDescent="0.2">
      <c r="B72" s="128">
        <v>44581</v>
      </c>
      <c r="C72" s="127" t="s">
        <v>759</v>
      </c>
      <c r="D72" s="127">
        <v>-21</v>
      </c>
      <c r="E72" s="127" t="s">
        <v>662</v>
      </c>
      <c r="F72" s="127" t="s">
        <v>879</v>
      </c>
    </row>
    <row r="73" spans="2:6" x14ac:dyDescent="0.2">
      <c r="B73" s="128">
        <v>44581</v>
      </c>
      <c r="C73" s="127" t="s">
        <v>759</v>
      </c>
      <c r="D73" s="127">
        <v>-71.19</v>
      </c>
      <c r="E73" s="127" t="s">
        <v>662</v>
      </c>
      <c r="F73" s="127" t="s">
        <v>880</v>
      </c>
    </row>
    <row r="74" spans="2:6" x14ac:dyDescent="0.2">
      <c r="B74" s="128">
        <v>44581</v>
      </c>
      <c r="C74" s="127" t="s">
        <v>759</v>
      </c>
      <c r="D74" s="127">
        <v>-5.99</v>
      </c>
      <c r="E74" s="127" t="s">
        <v>662</v>
      </c>
      <c r="F74" s="127" t="s">
        <v>881</v>
      </c>
    </row>
    <row r="75" spans="2:6" x14ac:dyDescent="0.2">
      <c r="B75" s="128">
        <v>44581</v>
      </c>
      <c r="C75" s="127" t="s">
        <v>759</v>
      </c>
      <c r="D75" s="127">
        <v>-5</v>
      </c>
      <c r="E75" s="127" t="s">
        <v>662</v>
      </c>
      <c r="F75" s="127" t="s">
        <v>882</v>
      </c>
    </row>
    <row r="76" spans="2:6" x14ac:dyDescent="0.2">
      <c r="B76" s="128">
        <v>44581</v>
      </c>
      <c r="C76" s="127" t="s">
        <v>759</v>
      </c>
      <c r="D76" s="127">
        <v>-49.46</v>
      </c>
      <c r="E76" s="127" t="s">
        <v>662</v>
      </c>
      <c r="F76" s="127" t="s">
        <v>883</v>
      </c>
    </row>
    <row r="77" spans="2:6" x14ac:dyDescent="0.2">
      <c r="B77" s="128">
        <v>44581</v>
      </c>
      <c r="C77" s="127" t="s">
        <v>759</v>
      </c>
      <c r="D77" s="127">
        <v>600</v>
      </c>
      <c r="E77" s="127" t="s">
        <v>661</v>
      </c>
      <c r="F77" s="127" t="s">
        <v>761</v>
      </c>
    </row>
    <row r="78" spans="2:6" x14ac:dyDescent="0.2">
      <c r="B78" s="128">
        <v>44582</v>
      </c>
      <c r="C78" s="127" t="s">
        <v>759</v>
      </c>
      <c r="D78" s="127">
        <v>-2.1</v>
      </c>
      <c r="E78" s="127" t="s">
        <v>662</v>
      </c>
      <c r="F78" s="127" t="s">
        <v>884</v>
      </c>
    </row>
    <row r="79" spans="2:6" x14ac:dyDescent="0.2">
      <c r="B79" s="128">
        <v>44582</v>
      </c>
      <c r="C79" s="127" t="s">
        <v>759</v>
      </c>
      <c r="D79" s="127">
        <v>-42.05</v>
      </c>
      <c r="E79" s="127" t="s">
        <v>662</v>
      </c>
      <c r="F79" s="127" t="s">
        <v>885</v>
      </c>
    </row>
    <row r="80" spans="2:6" x14ac:dyDescent="0.2">
      <c r="B80" s="128">
        <v>44582</v>
      </c>
      <c r="C80" s="127" t="s">
        <v>759</v>
      </c>
      <c r="D80" s="127">
        <v>-66.16</v>
      </c>
      <c r="E80" s="127" t="s">
        <v>662</v>
      </c>
      <c r="F80" s="127" t="s">
        <v>886</v>
      </c>
    </row>
    <row r="81" spans="2:6" x14ac:dyDescent="0.2">
      <c r="B81" s="128">
        <v>44582</v>
      </c>
      <c r="C81" s="127" t="s">
        <v>759</v>
      </c>
      <c r="D81" s="127">
        <v>-33.880000000000003</v>
      </c>
      <c r="E81" s="127" t="s">
        <v>662</v>
      </c>
      <c r="F81" s="127" t="s">
        <v>887</v>
      </c>
    </row>
    <row r="82" spans="2:6" x14ac:dyDescent="0.2">
      <c r="B82" s="128">
        <v>44585</v>
      </c>
      <c r="C82" s="127" t="s">
        <v>759</v>
      </c>
      <c r="D82" s="127">
        <v>-11.2</v>
      </c>
      <c r="E82" s="127" t="s">
        <v>662</v>
      </c>
      <c r="F82" s="127" t="s">
        <v>888</v>
      </c>
    </row>
    <row r="83" spans="2:6" x14ac:dyDescent="0.2">
      <c r="B83" s="128">
        <v>44585</v>
      </c>
      <c r="C83" s="127" t="s">
        <v>759</v>
      </c>
      <c r="D83" s="127">
        <v>-8.75</v>
      </c>
      <c r="E83" s="127" t="s">
        <v>662</v>
      </c>
      <c r="F83" s="127" t="s">
        <v>889</v>
      </c>
    </row>
    <row r="84" spans="2:6" x14ac:dyDescent="0.2">
      <c r="B84" s="128">
        <v>44585</v>
      </c>
      <c r="C84" s="127" t="s">
        <v>759</v>
      </c>
      <c r="D84" s="127">
        <v>-14.54</v>
      </c>
      <c r="E84" s="127" t="s">
        <v>662</v>
      </c>
      <c r="F84" s="127" t="s">
        <v>890</v>
      </c>
    </row>
    <row r="85" spans="2:6" x14ac:dyDescent="0.2">
      <c r="B85" s="128">
        <v>44585</v>
      </c>
      <c r="C85" s="127" t="s">
        <v>759</v>
      </c>
      <c r="D85" s="127">
        <v>-24.4</v>
      </c>
      <c r="E85" s="127" t="s">
        <v>662</v>
      </c>
      <c r="F85" s="127" t="s">
        <v>891</v>
      </c>
    </row>
    <row r="86" spans="2:6" x14ac:dyDescent="0.2">
      <c r="B86" s="128">
        <v>44585</v>
      </c>
      <c r="C86" s="127" t="s">
        <v>759</v>
      </c>
      <c r="D86" s="127">
        <v>-13.34</v>
      </c>
      <c r="E86" s="127" t="s">
        <v>662</v>
      </c>
      <c r="F86" s="127" t="s">
        <v>892</v>
      </c>
    </row>
    <row r="87" spans="2:6" x14ac:dyDescent="0.2">
      <c r="B87" s="128">
        <v>44585</v>
      </c>
      <c r="C87" s="127" t="s">
        <v>759</v>
      </c>
      <c r="D87" s="127">
        <v>-3.5</v>
      </c>
      <c r="E87" s="127" t="s">
        <v>662</v>
      </c>
      <c r="F87" s="127" t="s">
        <v>892</v>
      </c>
    </row>
    <row r="88" spans="2:6" x14ac:dyDescent="0.2">
      <c r="B88" s="128">
        <v>44585</v>
      </c>
      <c r="C88" s="127" t="s">
        <v>759</v>
      </c>
      <c r="D88" s="127">
        <v>-94.3</v>
      </c>
      <c r="E88" s="127" t="s">
        <v>662</v>
      </c>
      <c r="F88" s="127" t="s">
        <v>893</v>
      </c>
    </row>
    <row r="89" spans="2:6" x14ac:dyDescent="0.2">
      <c r="B89" s="128">
        <v>44585</v>
      </c>
      <c r="C89" s="127" t="s">
        <v>759</v>
      </c>
      <c r="D89" s="127">
        <v>-3.5</v>
      </c>
      <c r="E89" s="127" t="s">
        <v>662</v>
      </c>
      <c r="F89" s="127" t="s">
        <v>894</v>
      </c>
    </row>
    <row r="90" spans="2:6" x14ac:dyDescent="0.2">
      <c r="B90" s="128">
        <v>44585</v>
      </c>
      <c r="C90" s="127" t="s">
        <v>759</v>
      </c>
      <c r="D90" s="127">
        <v>-52.99</v>
      </c>
      <c r="E90" s="127" t="s">
        <v>662</v>
      </c>
      <c r="F90" s="127" t="s">
        <v>895</v>
      </c>
    </row>
    <row r="91" spans="2:6" x14ac:dyDescent="0.2">
      <c r="B91" s="128">
        <v>44585</v>
      </c>
      <c r="C91" s="127" t="s">
        <v>759</v>
      </c>
      <c r="D91" s="127">
        <v>-4.5</v>
      </c>
      <c r="E91" s="127" t="s">
        <v>662</v>
      </c>
      <c r="F91" s="127" t="s">
        <v>896</v>
      </c>
    </row>
    <row r="92" spans="2:6" x14ac:dyDescent="0.2">
      <c r="B92" s="128">
        <v>44585</v>
      </c>
      <c r="C92" s="127" t="s">
        <v>759</v>
      </c>
      <c r="D92" s="127">
        <v>-12.35</v>
      </c>
      <c r="E92" s="127" t="s">
        <v>662</v>
      </c>
      <c r="F92" s="127" t="s">
        <v>897</v>
      </c>
    </row>
    <row r="93" spans="2:6" x14ac:dyDescent="0.2">
      <c r="B93" s="128">
        <v>44587</v>
      </c>
      <c r="C93" s="127" t="s">
        <v>759</v>
      </c>
      <c r="D93" s="127">
        <v>500</v>
      </c>
      <c r="E93" s="127" t="s">
        <v>661</v>
      </c>
      <c r="F93" s="127" t="s">
        <v>761</v>
      </c>
    </row>
    <row r="94" spans="2:6" x14ac:dyDescent="0.2">
      <c r="B94" s="128">
        <v>44588</v>
      </c>
      <c r="C94" s="127" t="s">
        <v>759</v>
      </c>
      <c r="D94" s="127">
        <v>-42.95</v>
      </c>
      <c r="E94" s="127" t="s">
        <v>662</v>
      </c>
      <c r="F94" s="127" t="s">
        <v>898</v>
      </c>
    </row>
    <row r="95" spans="2:6" x14ac:dyDescent="0.2">
      <c r="B95" s="128">
        <v>44588</v>
      </c>
      <c r="C95" s="127" t="s">
        <v>759</v>
      </c>
      <c r="D95" s="127">
        <v>-63.18</v>
      </c>
      <c r="E95" s="127" t="s">
        <v>662</v>
      </c>
      <c r="F95" s="127" t="s">
        <v>899</v>
      </c>
    </row>
    <row r="96" spans="2:6" x14ac:dyDescent="0.2">
      <c r="B96" s="128">
        <v>44588</v>
      </c>
      <c r="C96" s="127" t="s">
        <v>759</v>
      </c>
      <c r="D96" s="127">
        <v>1200</v>
      </c>
      <c r="E96" s="127" t="s">
        <v>697</v>
      </c>
      <c r="F96" s="127" t="s">
        <v>762</v>
      </c>
    </row>
    <row r="97" spans="2:8" x14ac:dyDescent="0.2">
      <c r="B97" s="128">
        <v>44589</v>
      </c>
      <c r="C97" s="127" t="s">
        <v>759</v>
      </c>
      <c r="D97" s="127">
        <v>-35.630000000000003</v>
      </c>
      <c r="E97" s="127" t="s">
        <v>662</v>
      </c>
      <c r="F97" s="127" t="s">
        <v>900</v>
      </c>
    </row>
    <row r="98" spans="2:8" x14ac:dyDescent="0.2">
      <c r="B98" s="128">
        <v>44592</v>
      </c>
      <c r="C98" s="127" t="s">
        <v>759</v>
      </c>
      <c r="D98" s="127">
        <v>-22.8</v>
      </c>
      <c r="E98" s="127" t="s">
        <v>662</v>
      </c>
      <c r="F98" s="127" t="s">
        <v>901</v>
      </c>
    </row>
    <row r="99" spans="2:8" x14ac:dyDescent="0.2">
      <c r="B99" s="128">
        <v>44592</v>
      </c>
      <c r="C99" s="127" t="s">
        <v>759</v>
      </c>
      <c r="D99" s="127">
        <v>-11.9</v>
      </c>
      <c r="E99" s="127" t="s">
        <v>662</v>
      </c>
      <c r="F99" s="127" t="s">
        <v>901</v>
      </c>
    </row>
    <row r="100" spans="2:8" x14ac:dyDescent="0.2">
      <c r="B100" s="128">
        <v>44592</v>
      </c>
      <c r="C100" s="127" t="s">
        <v>759</v>
      </c>
      <c r="D100" s="127">
        <v>-19.2</v>
      </c>
      <c r="E100" s="127" t="s">
        <v>662</v>
      </c>
      <c r="F100" s="127" t="s">
        <v>902</v>
      </c>
      <c r="H100" s="129"/>
    </row>
    <row r="101" spans="2:8" x14ac:dyDescent="0.2">
      <c r="B101" s="128">
        <v>44592</v>
      </c>
      <c r="C101" s="127" t="s">
        <v>759</v>
      </c>
      <c r="D101" s="127">
        <v>-20.48</v>
      </c>
      <c r="E101" s="127" t="s">
        <v>662</v>
      </c>
      <c r="F101" s="127" t="s">
        <v>903</v>
      </c>
    </row>
    <row r="102" spans="2:8" x14ac:dyDescent="0.2">
      <c r="B102" s="128">
        <v>44592</v>
      </c>
      <c r="C102" s="127" t="s">
        <v>759</v>
      </c>
      <c r="D102" s="127">
        <v>-7.99</v>
      </c>
      <c r="E102" s="127" t="s">
        <v>662</v>
      </c>
      <c r="F102" s="127" t="s">
        <v>904</v>
      </c>
    </row>
    <row r="103" spans="2:8" x14ac:dyDescent="0.2">
      <c r="B103" s="128">
        <v>44592</v>
      </c>
      <c r="C103" s="127" t="s">
        <v>759</v>
      </c>
      <c r="D103" s="127">
        <v>-30.54</v>
      </c>
      <c r="E103" s="127" t="s">
        <v>662</v>
      </c>
      <c r="F103" s="127" t="s">
        <v>905</v>
      </c>
    </row>
    <row r="104" spans="2:8" x14ac:dyDescent="0.2">
      <c r="B104" s="128"/>
    </row>
    <row r="105" spans="2:8" x14ac:dyDescent="0.2">
      <c r="B105" s="128"/>
    </row>
    <row r="106" spans="2:8" x14ac:dyDescent="0.2">
      <c r="B106" s="128"/>
    </row>
    <row r="107" spans="2:8" x14ac:dyDescent="0.2">
      <c r="B107" s="128"/>
    </row>
    <row r="108" spans="2:8" x14ac:dyDescent="0.2">
      <c r="B108" s="128"/>
    </row>
    <row r="109" spans="2:8" x14ac:dyDescent="0.2">
      <c r="B109" s="128"/>
    </row>
    <row r="110" spans="2:8" x14ac:dyDescent="0.2">
      <c r="B110" s="128"/>
    </row>
    <row r="111" spans="2:8" x14ac:dyDescent="0.2">
      <c r="B111" s="128"/>
    </row>
    <row r="112" spans="2:8" x14ac:dyDescent="0.2">
      <c r="B112" s="128"/>
    </row>
    <row r="113" spans="2:8" x14ac:dyDescent="0.2">
      <c r="B113" s="128"/>
      <c r="H113" s="129"/>
    </row>
    <row r="114" spans="2:8" x14ac:dyDescent="0.2">
      <c r="B114" s="128"/>
    </row>
    <row r="115" spans="2:8" x14ac:dyDescent="0.2">
      <c r="B115" s="128"/>
    </row>
    <row r="116" spans="2:8" x14ac:dyDescent="0.2">
      <c r="B116" s="128"/>
    </row>
    <row r="117" spans="2:8" x14ac:dyDescent="0.2">
      <c r="B117" s="128"/>
    </row>
    <row r="118" spans="2:8" x14ac:dyDescent="0.2">
      <c r="B118" s="128"/>
    </row>
    <row r="119" spans="2:8" x14ac:dyDescent="0.2">
      <c r="B119" s="128"/>
    </row>
    <row r="120" spans="2:8" x14ac:dyDescent="0.2">
      <c r="B120" s="128"/>
    </row>
    <row r="121" spans="2:8" x14ac:dyDescent="0.2">
      <c r="B121" s="128"/>
    </row>
    <row r="122" spans="2:8" x14ac:dyDescent="0.2">
      <c r="B122" s="128"/>
    </row>
    <row r="123" spans="2:8" x14ac:dyDescent="0.2">
      <c r="B123" s="128"/>
    </row>
    <row r="124" spans="2:8" x14ac:dyDescent="0.2">
      <c r="B124" s="128"/>
    </row>
    <row r="125" spans="2:8" x14ac:dyDescent="0.2">
      <c r="B125" s="128"/>
    </row>
    <row r="126" spans="2:8" x14ac:dyDescent="0.2">
      <c r="B126" s="128"/>
    </row>
    <row r="127" spans="2:8" x14ac:dyDescent="0.2">
      <c r="B127" s="128"/>
    </row>
    <row r="128" spans="2:8" x14ac:dyDescent="0.2">
      <c r="B128" s="128"/>
      <c r="H128" s="129"/>
    </row>
    <row r="129" spans="2:2" x14ac:dyDescent="0.2">
      <c r="B129" s="128"/>
    </row>
    <row r="130" spans="2:2" x14ac:dyDescent="0.2">
      <c r="B130" s="128"/>
    </row>
    <row r="131" spans="2:2" x14ac:dyDescent="0.2">
      <c r="B131" s="128"/>
    </row>
    <row r="132" spans="2:2" x14ac:dyDescent="0.2">
      <c r="B132" s="128"/>
    </row>
    <row r="133" spans="2:2" x14ac:dyDescent="0.2">
      <c r="B133" s="128"/>
    </row>
    <row r="134" spans="2:2" x14ac:dyDescent="0.2">
      <c r="B134" s="128"/>
    </row>
    <row r="135" spans="2:2" x14ac:dyDescent="0.2">
      <c r="B135" s="128"/>
    </row>
    <row r="136" spans="2:2" x14ac:dyDescent="0.2">
      <c r="B136" s="128"/>
    </row>
    <row r="137" spans="2:2" x14ac:dyDescent="0.2">
      <c r="B137" s="128"/>
    </row>
    <row r="138" spans="2:2" x14ac:dyDescent="0.2">
      <c r="B138" s="128"/>
    </row>
    <row r="139" spans="2:2" x14ac:dyDescent="0.2">
      <c r="B139" s="128"/>
    </row>
    <row r="140" spans="2:2" x14ac:dyDescent="0.2">
      <c r="B140" s="128"/>
    </row>
    <row r="141" spans="2:2" x14ac:dyDescent="0.2">
      <c r="B141" s="128"/>
    </row>
    <row r="142" spans="2:2" x14ac:dyDescent="0.2">
      <c r="B142" s="128"/>
    </row>
    <row r="143" spans="2:2" x14ac:dyDescent="0.2">
      <c r="B143" s="128"/>
    </row>
    <row r="144" spans="2:2" x14ac:dyDescent="0.2">
      <c r="B144" s="128"/>
    </row>
    <row r="145" spans="2:2" x14ac:dyDescent="0.2">
      <c r="B145" s="128"/>
    </row>
    <row r="146" spans="2:2" x14ac:dyDescent="0.2">
      <c r="B146" s="128"/>
    </row>
    <row r="147" spans="2:2" x14ac:dyDescent="0.2">
      <c r="B147" s="128"/>
    </row>
    <row r="148" spans="2:2" x14ac:dyDescent="0.2">
      <c r="B148" s="128"/>
    </row>
    <row r="149" spans="2:2" x14ac:dyDescent="0.2">
      <c r="B149" s="128"/>
    </row>
    <row r="150" spans="2:2" x14ac:dyDescent="0.2">
      <c r="B150" s="128"/>
    </row>
    <row r="151" spans="2:2" x14ac:dyDescent="0.2">
      <c r="B151" s="128"/>
    </row>
    <row r="152" spans="2:2" x14ac:dyDescent="0.2">
      <c r="B152" s="128"/>
    </row>
    <row r="153" spans="2:2" x14ac:dyDescent="0.2">
      <c r="B153" s="128"/>
    </row>
    <row r="154" spans="2:2" x14ac:dyDescent="0.2">
      <c r="B154" s="128"/>
    </row>
    <row r="155" spans="2:2" x14ac:dyDescent="0.2">
      <c r="B155" s="128"/>
    </row>
    <row r="156" spans="2:2" x14ac:dyDescent="0.2">
      <c r="B156" s="128"/>
    </row>
    <row r="157" spans="2:2" x14ac:dyDescent="0.2">
      <c r="B157" s="128"/>
    </row>
    <row r="158" spans="2:2" x14ac:dyDescent="0.2">
      <c r="B158" s="128"/>
    </row>
    <row r="159" spans="2:2" x14ac:dyDescent="0.2">
      <c r="B159" s="128"/>
    </row>
    <row r="160" spans="2:2" x14ac:dyDescent="0.2">
      <c r="B160" s="128"/>
    </row>
    <row r="161" spans="2:2" x14ac:dyDescent="0.2">
      <c r="B161" s="128"/>
    </row>
    <row r="162" spans="2:2" x14ac:dyDescent="0.2">
      <c r="B162" s="128"/>
    </row>
    <row r="163" spans="2:2" x14ac:dyDescent="0.2">
      <c r="B163" s="128"/>
    </row>
    <row r="164" spans="2:2" x14ac:dyDescent="0.2">
      <c r="B164" s="128"/>
    </row>
    <row r="165" spans="2:2" x14ac:dyDescent="0.2">
      <c r="B165" s="128"/>
    </row>
    <row r="166" spans="2:2" x14ac:dyDescent="0.2">
      <c r="B166" s="128"/>
    </row>
    <row r="167" spans="2:2" x14ac:dyDescent="0.2">
      <c r="B167" s="128"/>
    </row>
    <row r="168" spans="2:2" x14ac:dyDescent="0.2">
      <c r="B168" s="128"/>
    </row>
    <row r="169" spans="2:2" x14ac:dyDescent="0.2">
      <c r="B169" s="128"/>
    </row>
    <row r="170" spans="2:2" x14ac:dyDescent="0.2">
      <c r="B170" s="128"/>
    </row>
    <row r="171" spans="2:2" x14ac:dyDescent="0.2">
      <c r="B171" s="128"/>
    </row>
    <row r="172" spans="2:2" x14ac:dyDescent="0.2">
      <c r="B172" s="128"/>
    </row>
    <row r="173" spans="2:2" x14ac:dyDescent="0.2">
      <c r="B173" s="128"/>
    </row>
    <row r="174" spans="2:2" x14ac:dyDescent="0.2">
      <c r="B174" s="128"/>
    </row>
    <row r="175" spans="2:2" x14ac:dyDescent="0.2">
      <c r="B175" s="128"/>
    </row>
    <row r="176" spans="2:2" x14ac:dyDescent="0.2">
      <c r="B176" s="128"/>
    </row>
    <row r="177" spans="2:2" x14ac:dyDescent="0.2">
      <c r="B177" s="128"/>
    </row>
    <row r="178" spans="2:2" x14ac:dyDescent="0.2">
      <c r="B178" s="128"/>
    </row>
    <row r="179" spans="2:2" x14ac:dyDescent="0.2">
      <c r="B179" s="128"/>
    </row>
    <row r="180" spans="2:2" x14ac:dyDescent="0.2">
      <c r="B180" s="128"/>
    </row>
    <row r="181" spans="2:2" x14ac:dyDescent="0.2">
      <c r="B181" s="128"/>
    </row>
    <row r="182" spans="2:2" x14ac:dyDescent="0.2">
      <c r="B182" s="128"/>
    </row>
    <row r="183" spans="2:2" x14ac:dyDescent="0.2">
      <c r="B183" s="128"/>
    </row>
    <row r="184" spans="2:2" x14ac:dyDescent="0.2">
      <c r="B184" s="128"/>
    </row>
    <row r="185" spans="2:2" x14ac:dyDescent="0.2">
      <c r="B185" s="128"/>
    </row>
  </sheetData>
  <autoFilter ref="A1:I140" xr:uid="{7607D0D1-EE28-41D3-A21A-58034E62A422}"/>
  <sortState xmlns:xlrd2="http://schemas.microsoft.com/office/spreadsheetml/2017/richdata2" ref="A2:I112">
    <sortCondition ref="B2:B11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L303"/>
  <sheetViews>
    <sheetView topLeftCell="A67" zoomScale="70" zoomScaleNormal="70" workbookViewId="0">
      <selection activeCell="D113" sqref="D113"/>
    </sheetView>
  </sheetViews>
  <sheetFormatPr defaultRowHeight="12.75" x14ac:dyDescent="0.2"/>
  <cols>
    <col min="1" max="1" width="2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6" width="16.5703125" bestFit="1" customWidth="1"/>
    <col min="7" max="7" width="12.28515625" bestFit="1" customWidth="1"/>
    <col min="8" max="8" width="12.85546875" customWidth="1"/>
    <col min="9" max="9" width="7.140625" bestFit="1" customWidth="1"/>
  </cols>
  <sheetData>
    <row r="1" spans="1:12" x14ac:dyDescent="0.2">
      <c r="A1" t="s">
        <v>455</v>
      </c>
      <c r="B1" t="s">
        <v>456</v>
      </c>
      <c r="C1" t="s">
        <v>457</v>
      </c>
      <c r="D1" t="s">
        <v>458</v>
      </c>
      <c r="E1" s="46" t="s">
        <v>459</v>
      </c>
      <c r="F1" t="s">
        <v>460</v>
      </c>
      <c r="G1" t="s">
        <v>461</v>
      </c>
      <c r="H1" t="s">
        <v>462</v>
      </c>
      <c r="J1" s="46" t="s">
        <v>561</v>
      </c>
    </row>
    <row r="2" spans="1:12" ht="15" x14ac:dyDescent="0.25">
      <c r="A2" t="s">
        <v>483</v>
      </c>
      <c r="B2">
        <v>865664</v>
      </c>
      <c r="C2" s="167">
        <v>44589.029861111114</v>
      </c>
      <c r="D2" t="s">
        <v>785</v>
      </c>
      <c r="E2" t="s">
        <v>633</v>
      </c>
      <c r="F2">
        <v>337011</v>
      </c>
      <c r="G2">
        <v>6</v>
      </c>
      <c r="H2">
        <v>0</v>
      </c>
      <c r="I2" s="163"/>
      <c r="J2" t="s">
        <v>1042</v>
      </c>
      <c r="K2" s="163"/>
      <c r="L2" s="163"/>
    </row>
    <row r="3" spans="1:12" ht="15" x14ac:dyDescent="0.25">
      <c r="A3" t="s">
        <v>482</v>
      </c>
      <c r="B3">
        <v>865664</v>
      </c>
      <c r="C3" s="167">
        <v>44589.029861111114</v>
      </c>
      <c r="D3" t="s">
        <v>786</v>
      </c>
      <c r="E3" t="s">
        <v>633</v>
      </c>
      <c r="F3">
        <v>337009</v>
      </c>
      <c r="G3">
        <v>6</v>
      </c>
      <c r="H3">
        <v>0</v>
      </c>
      <c r="I3" s="163"/>
      <c r="J3" t="s">
        <v>1042</v>
      </c>
      <c r="K3" s="163"/>
      <c r="L3" s="163"/>
    </row>
    <row r="4" spans="1:12" ht="15" x14ac:dyDescent="0.25">
      <c r="A4" t="s">
        <v>490</v>
      </c>
      <c r="B4">
        <v>861373</v>
      </c>
      <c r="C4" s="167">
        <v>44572.499305555553</v>
      </c>
      <c r="D4" t="s">
        <v>804</v>
      </c>
      <c r="F4">
        <v>0</v>
      </c>
      <c r="G4">
        <v>0</v>
      </c>
      <c r="H4">
        <v>115.68</v>
      </c>
      <c r="I4" s="163"/>
      <c r="J4" t="s">
        <v>1043</v>
      </c>
      <c r="K4" s="163"/>
      <c r="L4" s="163"/>
    </row>
    <row r="5" spans="1:12" ht="15" x14ac:dyDescent="0.25">
      <c r="A5" t="s">
        <v>490</v>
      </c>
      <c r="B5">
        <v>861373</v>
      </c>
      <c r="C5" s="167">
        <v>44572.499305555553</v>
      </c>
      <c r="D5" t="s">
        <v>652</v>
      </c>
      <c r="E5" t="s">
        <v>633</v>
      </c>
      <c r="F5">
        <v>334590</v>
      </c>
      <c r="G5">
        <v>9.7200000000000006</v>
      </c>
      <c r="H5">
        <v>0</v>
      </c>
      <c r="I5" s="163"/>
      <c r="J5" t="s">
        <v>1044</v>
      </c>
      <c r="K5" s="163"/>
      <c r="L5" s="163"/>
    </row>
    <row r="6" spans="1:12" ht="15" x14ac:dyDescent="0.25">
      <c r="A6" t="s">
        <v>490</v>
      </c>
      <c r="B6">
        <v>861397</v>
      </c>
      <c r="C6" s="167">
        <v>44572.501388888886</v>
      </c>
      <c r="D6" t="s">
        <v>653</v>
      </c>
      <c r="E6" t="s">
        <v>635</v>
      </c>
      <c r="F6">
        <v>252961</v>
      </c>
      <c r="G6">
        <v>99.96</v>
      </c>
      <c r="H6">
        <v>0</v>
      </c>
      <c r="I6" s="163"/>
      <c r="J6" t="s">
        <v>1045</v>
      </c>
      <c r="K6" s="163"/>
      <c r="L6" s="163"/>
    </row>
    <row r="7" spans="1:12" ht="15" x14ac:dyDescent="0.25">
      <c r="A7" t="s">
        <v>490</v>
      </c>
      <c r="B7">
        <v>863807</v>
      </c>
      <c r="C7" s="167">
        <v>44581.443055555559</v>
      </c>
      <c r="D7" t="s">
        <v>809</v>
      </c>
      <c r="F7">
        <v>0</v>
      </c>
      <c r="G7">
        <v>0</v>
      </c>
      <c r="H7">
        <v>345.84</v>
      </c>
      <c r="I7" s="163"/>
      <c r="J7" t="s">
        <v>1043</v>
      </c>
      <c r="K7" s="163"/>
      <c r="L7" s="163"/>
    </row>
    <row r="8" spans="1:12" ht="15" x14ac:dyDescent="0.25">
      <c r="A8" t="s">
        <v>490</v>
      </c>
      <c r="B8">
        <v>863807</v>
      </c>
      <c r="C8" s="167">
        <v>44581.443055555559</v>
      </c>
      <c r="D8" t="s">
        <v>652</v>
      </c>
      <c r="E8" t="s">
        <v>633</v>
      </c>
      <c r="F8">
        <v>335550</v>
      </c>
      <c r="G8">
        <v>29.05</v>
      </c>
      <c r="H8">
        <v>0</v>
      </c>
      <c r="I8" s="163"/>
      <c r="J8" t="s">
        <v>1044</v>
      </c>
      <c r="K8" s="163"/>
      <c r="L8" s="163"/>
    </row>
    <row r="9" spans="1:12" ht="15" x14ac:dyDescent="0.25">
      <c r="A9" t="s">
        <v>490</v>
      </c>
      <c r="B9">
        <v>863813</v>
      </c>
      <c r="C9" s="167">
        <v>44581.445833333331</v>
      </c>
      <c r="D9" t="s">
        <v>653</v>
      </c>
      <c r="E9" t="s">
        <v>635</v>
      </c>
      <c r="F9">
        <v>254045</v>
      </c>
      <c r="G9">
        <v>316.79000000000002</v>
      </c>
      <c r="H9">
        <v>0</v>
      </c>
      <c r="I9" s="163"/>
      <c r="J9" t="s">
        <v>1045</v>
      </c>
      <c r="K9" s="163"/>
      <c r="L9" s="163"/>
    </row>
    <row r="10" spans="1:12" ht="15" x14ac:dyDescent="0.25">
      <c r="A10" t="s">
        <v>490</v>
      </c>
      <c r="B10">
        <v>865664</v>
      </c>
      <c r="C10" s="167">
        <v>44589.029861111114</v>
      </c>
      <c r="D10" t="s">
        <v>622</v>
      </c>
      <c r="E10" t="s">
        <v>633</v>
      </c>
      <c r="F10">
        <v>336865</v>
      </c>
      <c r="G10">
        <v>6</v>
      </c>
      <c r="H10">
        <v>0</v>
      </c>
      <c r="I10" s="163"/>
      <c r="J10" t="s">
        <v>1042</v>
      </c>
      <c r="K10" s="163"/>
      <c r="L10" s="163"/>
    </row>
    <row r="11" spans="1:12" ht="15" x14ac:dyDescent="0.25">
      <c r="A11" t="s">
        <v>492</v>
      </c>
      <c r="B11">
        <v>860815</v>
      </c>
      <c r="C11" s="167">
        <v>44568.538888888892</v>
      </c>
      <c r="D11" t="s">
        <v>810</v>
      </c>
      <c r="F11">
        <v>0</v>
      </c>
      <c r="G11">
        <v>0</v>
      </c>
      <c r="H11">
        <v>500</v>
      </c>
      <c r="I11" s="163"/>
      <c r="J11" t="s">
        <v>1043</v>
      </c>
      <c r="K11" s="163"/>
      <c r="L11" s="163"/>
    </row>
    <row r="12" spans="1:12" ht="15" x14ac:dyDescent="0.25">
      <c r="A12" t="s">
        <v>492</v>
      </c>
      <c r="B12">
        <v>860815</v>
      </c>
      <c r="C12" s="167">
        <v>44568.538888888892</v>
      </c>
      <c r="D12" t="s">
        <v>654</v>
      </c>
      <c r="E12" t="s">
        <v>633</v>
      </c>
      <c r="F12">
        <v>334144</v>
      </c>
      <c r="G12">
        <v>42</v>
      </c>
      <c r="H12">
        <v>0</v>
      </c>
      <c r="I12" s="163"/>
      <c r="J12" t="s">
        <v>1044</v>
      </c>
      <c r="K12" s="163"/>
      <c r="L12" s="163"/>
    </row>
    <row r="13" spans="1:12" ht="15" x14ac:dyDescent="0.25">
      <c r="A13" t="s">
        <v>492</v>
      </c>
      <c r="B13">
        <v>860831</v>
      </c>
      <c r="C13" s="167">
        <v>44568.541666666664</v>
      </c>
      <c r="D13" t="s">
        <v>655</v>
      </c>
      <c r="E13" t="s">
        <v>635</v>
      </c>
      <c r="F13">
        <v>252765</v>
      </c>
      <c r="G13">
        <v>452</v>
      </c>
      <c r="H13">
        <v>0</v>
      </c>
      <c r="I13" s="163"/>
      <c r="J13" t="s">
        <v>1045</v>
      </c>
      <c r="K13" s="163"/>
      <c r="L13" s="163"/>
    </row>
    <row r="14" spans="1:12" ht="15" x14ac:dyDescent="0.25">
      <c r="A14" t="s">
        <v>492</v>
      </c>
      <c r="B14">
        <v>865664</v>
      </c>
      <c r="C14" s="167">
        <v>44589.029861111114</v>
      </c>
      <c r="D14" t="s">
        <v>623</v>
      </c>
      <c r="E14" t="s">
        <v>633</v>
      </c>
      <c r="F14">
        <v>336872</v>
      </c>
      <c r="G14">
        <v>6</v>
      </c>
      <c r="H14">
        <v>0</v>
      </c>
      <c r="I14" s="163"/>
      <c r="J14" t="s">
        <v>1042</v>
      </c>
      <c r="K14" s="163"/>
      <c r="L14" s="163"/>
    </row>
    <row r="15" spans="1:12" ht="15" x14ac:dyDescent="0.25">
      <c r="A15" t="s">
        <v>505</v>
      </c>
      <c r="B15">
        <v>865664</v>
      </c>
      <c r="C15" s="167">
        <v>44589.029861111114</v>
      </c>
      <c r="D15" t="s">
        <v>787</v>
      </c>
      <c r="E15" t="s">
        <v>633</v>
      </c>
      <c r="F15">
        <v>336878</v>
      </c>
      <c r="G15">
        <v>6</v>
      </c>
      <c r="H15">
        <v>0</v>
      </c>
      <c r="I15" s="163"/>
      <c r="J15" t="s">
        <v>1042</v>
      </c>
      <c r="K15" s="163"/>
      <c r="L15" s="163"/>
    </row>
    <row r="16" spans="1:12" ht="15" x14ac:dyDescent="0.25">
      <c r="A16" t="s">
        <v>496</v>
      </c>
      <c r="B16">
        <v>861569</v>
      </c>
      <c r="C16" s="167">
        <v>44573.449305555558</v>
      </c>
      <c r="D16" t="s">
        <v>811</v>
      </c>
      <c r="F16">
        <v>0</v>
      </c>
      <c r="G16">
        <v>0</v>
      </c>
      <c r="H16">
        <v>500</v>
      </c>
      <c r="I16" s="163"/>
      <c r="J16" t="s">
        <v>1043</v>
      </c>
      <c r="K16" s="163"/>
      <c r="L16" s="163"/>
    </row>
    <row r="17" spans="1:12" ht="15" x14ac:dyDescent="0.25">
      <c r="A17" t="s">
        <v>496</v>
      </c>
      <c r="B17">
        <v>861569</v>
      </c>
      <c r="C17" s="167">
        <v>44573.449305555558</v>
      </c>
      <c r="D17" t="s">
        <v>656</v>
      </c>
      <c r="E17" t="s">
        <v>633</v>
      </c>
      <c r="F17">
        <v>334670</v>
      </c>
      <c r="G17">
        <v>42</v>
      </c>
      <c r="H17">
        <v>0</v>
      </c>
      <c r="I17" s="163"/>
      <c r="J17" t="s">
        <v>1044</v>
      </c>
      <c r="K17" s="163"/>
      <c r="L17" s="163"/>
    </row>
    <row r="18" spans="1:12" ht="15" x14ac:dyDescent="0.25">
      <c r="A18" t="s">
        <v>496</v>
      </c>
      <c r="B18">
        <v>861575</v>
      </c>
      <c r="C18" s="167">
        <v>44573.450694444444</v>
      </c>
      <c r="D18" t="s">
        <v>657</v>
      </c>
      <c r="E18" t="s">
        <v>635</v>
      </c>
      <c r="F18">
        <v>253034</v>
      </c>
      <c r="G18">
        <v>452</v>
      </c>
      <c r="H18">
        <v>0</v>
      </c>
      <c r="I18" s="163"/>
      <c r="J18" t="s">
        <v>1045</v>
      </c>
      <c r="K18" s="163"/>
      <c r="L18" s="163"/>
    </row>
    <row r="19" spans="1:12" ht="15" x14ac:dyDescent="0.25">
      <c r="A19" t="s">
        <v>496</v>
      </c>
      <c r="B19">
        <v>865664</v>
      </c>
      <c r="C19" s="167">
        <v>44589.029861111114</v>
      </c>
      <c r="D19" t="s">
        <v>624</v>
      </c>
      <c r="E19" t="s">
        <v>633</v>
      </c>
      <c r="F19">
        <v>336925</v>
      </c>
      <c r="G19">
        <v>6</v>
      </c>
      <c r="H19">
        <v>0</v>
      </c>
      <c r="I19" s="163"/>
      <c r="J19" t="s">
        <v>1042</v>
      </c>
      <c r="K19" s="163"/>
      <c r="L19" s="163"/>
    </row>
    <row r="20" spans="1:12" ht="15" x14ac:dyDescent="0.25">
      <c r="A20" t="s">
        <v>498</v>
      </c>
      <c r="B20">
        <v>861892</v>
      </c>
      <c r="C20" s="167">
        <v>44574.453472222223</v>
      </c>
      <c r="D20" t="s">
        <v>812</v>
      </c>
      <c r="F20">
        <v>0</v>
      </c>
      <c r="G20">
        <v>0</v>
      </c>
      <c r="H20">
        <v>550</v>
      </c>
      <c r="I20" s="163"/>
      <c r="J20" t="s">
        <v>1043</v>
      </c>
      <c r="K20" s="163"/>
      <c r="L20" s="163"/>
    </row>
    <row r="21" spans="1:12" ht="15" x14ac:dyDescent="0.25">
      <c r="A21" t="s">
        <v>498</v>
      </c>
      <c r="B21">
        <v>861892</v>
      </c>
      <c r="C21" s="167">
        <v>44574.453472222223</v>
      </c>
      <c r="D21" t="s">
        <v>658</v>
      </c>
      <c r="E21" t="s">
        <v>633</v>
      </c>
      <c r="F21">
        <v>334783</v>
      </c>
      <c r="G21">
        <v>46.2</v>
      </c>
      <c r="H21">
        <v>0</v>
      </c>
      <c r="I21" s="163"/>
      <c r="J21" t="s">
        <v>1044</v>
      </c>
      <c r="K21" s="163"/>
      <c r="L21" s="163"/>
    </row>
    <row r="22" spans="1:12" ht="15" x14ac:dyDescent="0.25">
      <c r="A22" t="s">
        <v>498</v>
      </c>
      <c r="B22">
        <v>861903</v>
      </c>
      <c r="C22" s="167">
        <v>44574.454861111109</v>
      </c>
      <c r="D22" t="s">
        <v>659</v>
      </c>
      <c r="E22" t="s">
        <v>635</v>
      </c>
      <c r="F22">
        <v>253176</v>
      </c>
      <c r="G22">
        <v>497.8</v>
      </c>
      <c r="H22">
        <v>0</v>
      </c>
      <c r="I22" s="163"/>
      <c r="J22" t="s">
        <v>1045</v>
      </c>
      <c r="K22" s="163"/>
      <c r="L22" s="163"/>
    </row>
    <row r="23" spans="1:12" ht="15" x14ac:dyDescent="0.25">
      <c r="A23" t="s">
        <v>498</v>
      </c>
      <c r="B23">
        <v>865664</v>
      </c>
      <c r="C23" s="167">
        <v>44589.029861111114</v>
      </c>
      <c r="D23" t="s">
        <v>625</v>
      </c>
      <c r="E23" t="s">
        <v>633</v>
      </c>
      <c r="F23">
        <v>336915</v>
      </c>
      <c r="G23">
        <v>6</v>
      </c>
      <c r="H23">
        <v>0</v>
      </c>
      <c r="I23" s="163"/>
      <c r="J23" t="s">
        <v>1042</v>
      </c>
      <c r="K23" s="163"/>
      <c r="L23" s="163"/>
    </row>
    <row r="24" spans="1:12" ht="15" x14ac:dyDescent="0.25">
      <c r="A24" t="s">
        <v>463</v>
      </c>
      <c r="B24">
        <v>865099</v>
      </c>
      <c r="C24" s="167">
        <v>44586.496527777781</v>
      </c>
      <c r="D24" t="s">
        <v>813</v>
      </c>
      <c r="F24">
        <v>0</v>
      </c>
      <c r="G24">
        <v>0</v>
      </c>
      <c r="H24">
        <v>500</v>
      </c>
      <c r="I24" s="163"/>
      <c r="J24" t="s">
        <v>1043</v>
      </c>
      <c r="K24" s="163"/>
      <c r="L24" s="163"/>
    </row>
    <row r="25" spans="1:12" ht="15" x14ac:dyDescent="0.25">
      <c r="A25" t="s">
        <v>463</v>
      </c>
      <c r="B25">
        <v>865099</v>
      </c>
      <c r="C25" s="167">
        <v>44586.496527777781</v>
      </c>
      <c r="D25" t="s">
        <v>632</v>
      </c>
      <c r="E25" t="s">
        <v>633</v>
      </c>
      <c r="F25">
        <v>335886</v>
      </c>
      <c r="G25">
        <v>42</v>
      </c>
      <c r="H25">
        <v>0</v>
      </c>
      <c r="I25" s="163"/>
      <c r="J25" t="s">
        <v>1044</v>
      </c>
      <c r="K25" s="163"/>
      <c r="L25" s="163"/>
    </row>
    <row r="26" spans="1:12" ht="15" x14ac:dyDescent="0.25">
      <c r="A26" t="s">
        <v>463</v>
      </c>
      <c r="B26">
        <v>865116</v>
      </c>
      <c r="C26" s="167">
        <v>44586.500694444447</v>
      </c>
      <c r="D26" t="s">
        <v>634</v>
      </c>
      <c r="E26" t="s">
        <v>635</v>
      </c>
      <c r="F26">
        <v>254546</v>
      </c>
      <c r="G26">
        <v>458</v>
      </c>
      <c r="H26">
        <v>0</v>
      </c>
      <c r="I26" s="163"/>
      <c r="J26" t="s">
        <v>1045</v>
      </c>
      <c r="K26" s="163"/>
      <c r="L26" s="163"/>
    </row>
    <row r="27" spans="1:12" ht="15" x14ac:dyDescent="0.25">
      <c r="A27" t="s">
        <v>463</v>
      </c>
      <c r="B27">
        <v>865664</v>
      </c>
      <c r="C27" s="167">
        <v>44589.029861111114</v>
      </c>
      <c r="D27" t="s">
        <v>615</v>
      </c>
      <c r="E27" t="s">
        <v>633</v>
      </c>
      <c r="F27">
        <v>336998</v>
      </c>
      <c r="G27">
        <v>12</v>
      </c>
      <c r="H27">
        <v>0</v>
      </c>
      <c r="I27" s="163"/>
      <c r="J27" t="s">
        <v>1042</v>
      </c>
      <c r="K27" s="163"/>
      <c r="L27" s="163"/>
    </row>
    <row r="28" spans="1:12" ht="15" x14ac:dyDescent="0.25">
      <c r="A28" t="s">
        <v>465</v>
      </c>
      <c r="B28">
        <v>865664</v>
      </c>
      <c r="C28" s="167">
        <v>44589.029861111114</v>
      </c>
      <c r="D28" t="s">
        <v>616</v>
      </c>
      <c r="E28" t="s">
        <v>633</v>
      </c>
      <c r="F28">
        <v>337000</v>
      </c>
      <c r="G28">
        <v>6</v>
      </c>
      <c r="H28">
        <v>0</v>
      </c>
      <c r="I28" s="163"/>
      <c r="J28" t="s">
        <v>1042</v>
      </c>
      <c r="K28" s="163"/>
      <c r="L28" s="163"/>
    </row>
    <row r="29" spans="1:12" ht="15" x14ac:dyDescent="0.25">
      <c r="A29" t="s">
        <v>468</v>
      </c>
      <c r="B29">
        <v>861378</v>
      </c>
      <c r="C29" s="167">
        <v>44572.499305555553</v>
      </c>
      <c r="D29" t="s">
        <v>805</v>
      </c>
      <c r="F29">
        <v>0</v>
      </c>
      <c r="G29">
        <v>0</v>
      </c>
      <c r="H29">
        <v>39.200000000000003</v>
      </c>
      <c r="I29" s="163"/>
      <c r="J29" t="s">
        <v>1043</v>
      </c>
      <c r="K29" s="163"/>
      <c r="L29" s="163"/>
    </row>
    <row r="30" spans="1:12" ht="15" x14ac:dyDescent="0.25">
      <c r="A30" t="s">
        <v>468</v>
      </c>
      <c r="B30">
        <v>861378</v>
      </c>
      <c r="C30" s="167">
        <v>44572.499305555553</v>
      </c>
      <c r="D30" t="s">
        <v>640</v>
      </c>
      <c r="E30" t="s">
        <v>633</v>
      </c>
      <c r="F30">
        <v>334595</v>
      </c>
      <c r="G30">
        <v>3.29</v>
      </c>
      <c r="H30">
        <v>0</v>
      </c>
      <c r="I30" s="163"/>
      <c r="J30" t="s">
        <v>1044</v>
      </c>
      <c r="K30" s="163"/>
      <c r="L30" s="163"/>
    </row>
    <row r="31" spans="1:12" ht="15" x14ac:dyDescent="0.25">
      <c r="A31" t="s">
        <v>468</v>
      </c>
      <c r="B31">
        <v>861378</v>
      </c>
      <c r="C31" s="167">
        <v>44572.499305555553</v>
      </c>
      <c r="D31" t="s">
        <v>814</v>
      </c>
      <c r="F31">
        <v>0</v>
      </c>
      <c r="G31">
        <v>0</v>
      </c>
      <c r="H31">
        <v>422.32</v>
      </c>
      <c r="I31" s="163"/>
      <c r="J31" t="s">
        <v>1043</v>
      </c>
      <c r="K31" s="163"/>
      <c r="L31" s="163"/>
    </row>
    <row r="32" spans="1:12" ht="15" x14ac:dyDescent="0.25">
      <c r="A32" t="s">
        <v>468</v>
      </c>
      <c r="B32">
        <v>861378</v>
      </c>
      <c r="C32" s="167">
        <v>44572.499305555553</v>
      </c>
      <c r="D32" t="s">
        <v>640</v>
      </c>
      <c r="E32" t="s">
        <v>633</v>
      </c>
      <c r="F32">
        <v>334595</v>
      </c>
      <c r="G32">
        <v>35.47</v>
      </c>
      <c r="H32">
        <v>0</v>
      </c>
      <c r="I32" s="163"/>
      <c r="J32" t="s">
        <v>1044</v>
      </c>
      <c r="K32" s="163"/>
      <c r="L32" s="163"/>
    </row>
    <row r="33" spans="1:12" ht="15" x14ac:dyDescent="0.25">
      <c r="A33" t="s">
        <v>468</v>
      </c>
      <c r="B33">
        <v>861397</v>
      </c>
      <c r="C33" s="167">
        <v>44572.501388888886</v>
      </c>
      <c r="D33" t="s">
        <v>641</v>
      </c>
      <c r="E33" t="s">
        <v>635</v>
      </c>
      <c r="F33">
        <v>252966</v>
      </c>
      <c r="G33">
        <v>416.76</v>
      </c>
      <c r="H33">
        <v>0</v>
      </c>
      <c r="I33" s="163"/>
      <c r="J33" t="s">
        <v>1045</v>
      </c>
      <c r="K33" s="163"/>
      <c r="L33" s="163"/>
    </row>
    <row r="34" spans="1:12" ht="15" x14ac:dyDescent="0.25">
      <c r="A34" t="s">
        <v>468</v>
      </c>
      <c r="B34">
        <v>865664</v>
      </c>
      <c r="C34" s="167">
        <v>44589.029861111114</v>
      </c>
      <c r="D34" t="s">
        <v>619</v>
      </c>
      <c r="E34" t="s">
        <v>633</v>
      </c>
      <c r="F34">
        <v>336940</v>
      </c>
      <c r="G34">
        <v>6</v>
      </c>
      <c r="H34">
        <v>0</v>
      </c>
      <c r="I34" s="163"/>
      <c r="J34" t="s">
        <v>1042</v>
      </c>
      <c r="K34" s="163"/>
      <c r="L34" s="163"/>
    </row>
    <row r="35" spans="1:12" ht="15" x14ac:dyDescent="0.25">
      <c r="A35" t="s">
        <v>503</v>
      </c>
      <c r="B35">
        <v>860400</v>
      </c>
      <c r="C35" s="167">
        <v>44566.659722222219</v>
      </c>
      <c r="D35" t="s">
        <v>815</v>
      </c>
      <c r="F35">
        <v>0</v>
      </c>
      <c r="G35">
        <v>0</v>
      </c>
      <c r="H35">
        <v>500</v>
      </c>
      <c r="I35" s="163"/>
      <c r="J35" t="s">
        <v>1043</v>
      </c>
      <c r="K35" s="163"/>
      <c r="L35" s="163"/>
    </row>
    <row r="36" spans="1:12" ht="15" x14ac:dyDescent="0.25">
      <c r="A36" t="s">
        <v>503</v>
      </c>
      <c r="B36">
        <v>860400</v>
      </c>
      <c r="C36" s="167">
        <v>44566.659722222219</v>
      </c>
      <c r="D36" t="s">
        <v>638</v>
      </c>
      <c r="E36" t="s">
        <v>633</v>
      </c>
      <c r="F36">
        <v>333915</v>
      </c>
      <c r="G36">
        <v>42</v>
      </c>
      <c r="H36">
        <v>0</v>
      </c>
      <c r="I36" s="163"/>
      <c r="J36" t="s">
        <v>1044</v>
      </c>
      <c r="K36" s="163"/>
      <c r="L36" s="163"/>
    </row>
    <row r="37" spans="1:12" ht="15" x14ac:dyDescent="0.25">
      <c r="A37" t="s">
        <v>503</v>
      </c>
      <c r="B37">
        <v>860432</v>
      </c>
      <c r="C37" s="167">
        <v>44566.663194444445</v>
      </c>
      <c r="D37" t="s">
        <v>639</v>
      </c>
      <c r="E37" t="s">
        <v>635</v>
      </c>
      <c r="F37">
        <v>252594</v>
      </c>
      <c r="G37">
        <v>452</v>
      </c>
      <c r="H37">
        <v>0</v>
      </c>
      <c r="I37" s="163"/>
      <c r="J37" t="s">
        <v>1045</v>
      </c>
      <c r="K37" s="163"/>
      <c r="L37" s="163"/>
    </row>
    <row r="38" spans="1:12" ht="15" x14ac:dyDescent="0.25">
      <c r="A38" t="s">
        <v>503</v>
      </c>
      <c r="B38">
        <v>865664</v>
      </c>
      <c r="C38" s="167">
        <v>44589.029861111114</v>
      </c>
      <c r="D38" t="s">
        <v>618</v>
      </c>
      <c r="E38" t="s">
        <v>633</v>
      </c>
      <c r="F38">
        <v>336935</v>
      </c>
      <c r="G38">
        <v>6</v>
      </c>
      <c r="H38">
        <v>0</v>
      </c>
      <c r="I38" s="163"/>
      <c r="J38" t="s">
        <v>1042</v>
      </c>
      <c r="K38" s="163"/>
      <c r="L38" s="163"/>
    </row>
    <row r="39" spans="1:12" ht="15" x14ac:dyDescent="0.25">
      <c r="A39" t="s">
        <v>466</v>
      </c>
      <c r="B39">
        <v>861371</v>
      </c>
      <c r="C39" s="167">
        <v>44572.499305555553</v>
      </c>
      <c r="D39" t="s">
        <v>806</v>
      </c>
      <c r="F39">
        <v>0</v>
      </c>
      <c r="G39">
        <v>0</v>
      </c>
      <c r="H39">
        <v>268.88</v>
      </c>
      <c r="I39" s="163"/>
      <c r="J39" t="s">
        <v>1043</v>
      </c>
      <c r="K39" s="163"/>
      <c r="L39" s="163"/>
    </row>
    <row r="40" spans="1:12" ht="15" x14ac:dyDescent="0.25">
      <c r="A40" t="s">
        <v>466</v>
      </c>
      <c r="B40">
        <v>861371</v>
      </c>
      <c r="C40" s="167">
        <v>44572.499305555553</v>
      </c>
      <c r="D40" t="s">
        <v>636</v>
      </c>
      <c r="E40" t="s">
        <v>633</v>
      </c>
      <c r="F40">
        <v>334588</v>
      </c>
      <c r="G40">
        <v>22.58</v>
      </c>
      <c r="H40">
        <v>0</v>
      </c>
      <c r="I40" s="163"/>
      <c r="J40" t="s">
        <v>1044</v>
      </c>
      <c r="K40" s="163"/>
      <c r="L40" s="163"/>
    </row>
    <row r="41" spans="1:12" ht="15" x14ac:dyDescent="0.25">
      <c r="A41" t="s">
        <v>466</v>
      </c>
      <c r="B41">
        <v>861371</v>
      </c>
      <c r="C41" s="167">
        <v>44572.499305555553</v>
      </c>
      <c r="D41" t="s">
        <v>816</v>
      </c>
      <c r="F41">
        <v>0</v>
      </c>
      <c r="G41">
        <v>0</v>
      </c>
      <c r="H41">
        <v>197.24</v>
      </c>
      <c r="I41" s="163"/>
      <c r="J41" t="s">
        <v>1043</v>
      </c>
      <c r="K41" s="163"/>
      <c r="L41" s="163"/>
    </row>
    <row r="42" spans="1:12" ht="15" x14ac:dyDescent="0.25">
      <c r="A42" t="s">
        <v>466</v>
      </c>
      <c r="B42">
        <v>861371</v>
      </c>
      <c r="C42" s="167">
        <v>44572.499305555553</v>
      </c>
      <c r="D42" t="s">
        <v>636</v>
      </c>
      <c r="E42" t="s">
        <v>633</v>
      </c>
      <c r="F42">
        <v>334588</v>
      </c>
      <c r="G42">
        <v>16.57</v>
      </c>
      <c r="H42">
        <v>0</v>
      </c>
      <c r="I42" s="163"/>
      <c r="J42" t="s">
        <v>1044</v>
      </c>
      <c r="K42" s="163"/>
      <c r="L42" s="163"/>
    </row>
    <row r="43" spans="1:12" ht="15" x14ac:dyDescent="0.25">
      <c r="A43" t="s">
        <v>466</v>
      </c>
      <c r="B43">
        <v>861397</v>
      </c>
      <c r="C43" s="167">
        <v>44572.501388888886</v>
      </c>
      <c r="D43" t="s">
        <v>637</v>
      </c>
      <c r="E43" t="s">
        <v>635</v>
      </c>
      <c r="F43">
        <v>252959</v>
      </c>
      <c r="G43">
        <v>420.97</v>
      </c>
      <c r="H43">
        <v>0</v>
      </c>
      <c r="I43" s="163"/>
      <c r="J43" t="s">
        <v>1045</v>
      </c>
      <c r="K43" s="163"/>
      <c r="L43" s="163"/>
    </row>
    <row r="44" spans="1:12" ht="15" x14ac:dyDescent="0.25">
      <c r="A44" t="s">
        <v>466</v>
      </c>
      <c r="B44">
        <v>865664</v>
      </c>
      <c r="C44" s="167">
        <v>44589.029861111114</v>
      </c>
      <c r="D44" t="s">
        <v>617</v>
      </c>
      <c r="E44" t="s">
        <v>633</v>
      </c>
      <c r="F44">
        <v>336934</v>
      </c>
      <c r="G44">
        <v>6</v>
      </c>
      <c r="H44">
        <v>0</v>
      </c>
      <c r="I44" s="163"/>
      <c r="J44" t="s">
        <v>1042</v>
      </c>
      <c r="K44" s="163"/>
      <c r="L44" s="163"/>
    </row>
    <row r="45" spans="1:12" ht="15" x14ac:dyDescent="0.25">
      <c r="A45" t="s">
        <v>473</v>
      </c>
      <c r="B45">
        <v>861572</v>
      </c>
      <c r="C45" s="167">
        <v>44573.449305555558</v>
      </c>
      <c r="D45" t="s">
        <v>817</v>
      </c>
      <c r="F45">
        <v>0</v>
      </c>
      <c r="G45">
        <v>0</v>
      </c>
      <c r="H45">
        <v>350</v>
      </c>
      <c r="I45" s="163"/>
      <c r="J45" t="s">
        <v>1043</v>
      </c>
      <c r="K45" s="163"/>
      <c r="L45" s="163"/>
    </row>
    <row r="46" spans="1:12" ht="15" x14ac:dyDescent="0.25">
      <c r="A46" t="s">
        <v>473</v>
      </c>
      <c r="B46">
        <v>861572</v>
      </c>
      <c r="C46" s="167">
        <v>44573.449305555558</v>
      </c>
      <c r="D46" t="s">
        <v>644</v>
      </c>
      <c r="E46" t="s">
        <v>633</v>
      </c>
      <c r="F46">
        <v>334672</v>
      </c>
      <c r="G46">
        <v>29.4</v>
      </c>
      <c r="H46">
        <v>0</v>
      </c>
      <c r="I46" s="163"/>
      <c r="J46" t="s">
        <v>1044</v>
      </c>
      <c r="K46" s="163"/>
      <c r="L46" s="163"/>
    </row>
    <row r="47" spans="1:12" ht="15" x14ac:dyDescent="0.25">
      <c r="A47" t="s">
        <v>473</v>
      </c>
      <c r="B47">
        <v>861575</v>
      </c>
      <c r="C47" s="167">
        <v>44573.450694444444</v>
      </c>
      <c r="D47" t="s">
        <v>645</v>
      </c>
      <c r="E47" t="s">
        <v>635</v>
      </c>
      <c r="F47">
        <v>253037</v>
      </c>
      <c r="G47">
        <v>314.60000000000002</v>
      </c>
      <c r="H47">
        <v>0</v>
      </c>
      <c r="I47" s="163"/>
      <c r="J47" t="s">
        <v>1045</v>
      </c>
      <c r="K47" s="163"/>
      <c r="L47" s="163"/>
    </row>
    <row r="48" spans="1:12" ht="15" x14ac:dyDescent="0.25">
      <c r="A48" t="s">
        <v>473</v>
      </c>
      <c r="B48">
        <v>865664</v>
      </c>
      <c r="C48" s="167">
        <v>44589.029861111114</v>
      </c>
      <c r="D48" t="s">
        <v>627</v>
      </c>
      <c r="E48" t="s">
        <v>633</v>
      </c>
      <c r="F48">
        <v>336954</v>
      </c>
      <c r="G48">
        <v>6</v>
      </c>
      <c r="H48">
        <v>0</v>
      </c>
      <c r="I48" s="163"/>
      <c r="J48" t="s">
        <v>1042</v>
      </c>
      <c r="K48" s="163"/>
      <c r="L48" s="163"/>
    </row>
    <row r="49" spans="1:12" ht="15" x14ac:dyDescent="0.25">
      <c r="A49" t="s">
        <v>554</v>
      </c>
      <c r="B49">
        <v>860152</v>
      </c>
      <c r="C49" s="167">
        <v>44566.624305555553</v>
      </c>
      <c r="D49" t="s">
        <v>818</v>
      </c>
      <c r="F49">
        <v>0</v>
      </c>
      <c r="G49">
        <v>0</v>
      </c>
      <c r="H49">
        <v>520</v>
      </c>
      <c r="I49" s="163"/>
      <c r="J49" t="s">
        <v>1043</v>
      </c>
      <c r="K49" s="163"/>
      <c r="L49" s="163"/>
    </row>
    <row r="50" spans="1:12" ht="15" x14ac:dyDescent="0.25">
      <c r="A50" t="s">
        <v>554</v>
      </c>
      <c r="B50">
        <v>860152</v>
      </c>
      <c r="C50" s="167">
        <v>44566.624305555553</v>
      </c>
      <c r="D50" t="s">
        <v>646</v>
      </c>
      <c r="E50" t="s">
        <v>633</v>
      </c>
      <c r="F50">
        <v>333690</v>
      </c>
      <c r="G50">
        <v>43.68</v>
      </c>
      <c r="H50">
        <v>0</v>
      </c>
      <c r="I50" s="163"/>
      <c r="J50" t="s">
        <v>1044</v>
      </c>
      <c r="K50" s="163"/>
      <c r="L50" s="163"/>
    </row>
    <row r="51" spans="1:12" ht="15" x14ac:dyDescent="0.25">
      <c r="A51" t="s">
        <v>554</v>
      </c>
      <c r="B51">
        <v>860432</v>
      </c>
      <c r="C51" s="167">
        <v>44566.663194444445</v>
      </c>
      <c r="D51" t="s">
        <v>647</v>
      </c>
      <c r="E51" t="s">
        <v>635</v>
      </c>
      <c r="F51">
        <v>252363</v>
      </c>
      <c r="G51">
        <v>470.32</v>
      </c>
      <c r="H51">
        <v>0</v>
      </c>
      <c r="I51" s="163"/>
      <c r="J51" t="s">
        <v>1045</v>
      </c>
      <c r="K51" s="163"/>
      <c r="L51" s="163"/>
    </row>
    <row r="52" spans="1:12" ht="15" x14ac:dyDescent="0.25">
      <c r="A52" t="s">
        <v>554</v>
      </c>
      <c r="B52">
        <v>865664</v>
      </c>
      <c r="C52" s="167">
        <v>44589.029861111114</v>
      </c>
      <c r="D52" t="s">
        <v>628</v>
      </c>
      <c r="E52" t="s">
        <v>633</v>
      </c>
      <c r="F52">
        <v>336956</v>
      </c>
      <c r="G52">
        <v>6</v>
      </c>
      <c r="H52">
        <v>0</v>
      </c>
      <c r="I52" s="163"/>
      <c r="J52" t="s">
        <v>1042</v>
      </c>
      <c r="K52" s="163"/>
      <c r="L52" s="163"/>
    </row>
    <row r="53" spans="1:12" ht="15" x14ac:dyDescent="0.25">
      <c r="A53" t="s">
        <v>478</v>
      </c>
      <c r="B53">
        <v>861001</v>
      </c>
      <c r="C53" s="167">
        <v>44569.431944444441</v>
      </c>
      <c r="D53" t="s">
        <v>819</v>
      </c>
      <c r="F53">
        <v>0</v>
      </c>
      <c r="G53">
        <v>0</v>
      </c>
      <c r="H53">
        <v>210.68</v>
      </c>
      <c r="I53" s="163"/>
      <c r="J53" t="s">
        <v>1043</v>
      </c>
      <c r="K53" s="163"/>
      <c r="L53" s="163"/>
    </row>
    <row r="54" spans="1:12" ht="15" x14ac:dyDescent="0.25">
      <c r="A54" t="s">
        <v>478</v>
      </c>
      <c r="B54">
        <v>861001</v>
      </c>
      <c r="C54" s="167">
        <v>44569.431944444441</v>
      </c>
      <c r="D54" t="s">
        <v>648</v>
      </c>
      <c r="E54" t="s">
        <v>633</v>
      </c>
      <c r="F54">
        <v>334324</v>
      </c>
      <c r="G54">
        <v>17.7</v>
      </c>
      <c r="H54">
        <v>0</v>
      </c>
      <c r="I54" s="163"/>
      <c r="J54" t="s">
        <v>1044</v>
      </c>
      <c r="K54" s="163"/>
      <c r="L54" s="163"/>
    </row>
    <row r="55" spans="1:12" ht="15" x14ac:dyDescent="0.25">
      <c r="A55" t="s">
        <v>478</v>
      </c>
      <c r="B55">
        <v>861006</v>
      </c>
      <c r="C55" s="167">
        <v>44569.434027777781</v>
      </c>
      <c r="D55" t="s">
        <v>649</v>
      </c>
      <c r="E55" t="s">
        <v>635</v>
      </c>
      <c r="F55">
        <v>252834</v>
      </c>
      <c r="G55">
        <v>186.98</v>
      </c>
      <c r="H55">
        <v>0</v>
      </c>
      <c r="I55" s="163"/>
      <c r="J55" t="s">
        <v>1045</v>
      </c>
      <c r="K55" s="163"/>
      <c r="L55" s="163"/>
    </row>
    <row r="56" spans="1:12" ht="15" x14ac:dyDescent="0.25">
      <c r="A56" t="s">
        <v>478</v>
      </c>
      <c r="B56">
        <v>861382</v>
      </c>
      <c r="C56" s="167">
        <v>44572.499305555553</v>
      </c>
      <c r="D56" t="s">
        <v>819</v>
      </c>
      <c r="F56">
        <v>0</v>
      </c>
      <c r="G56">
        <v>0</v>
      </c>
      <c r="H56">
        <v>289.32</v>
      </c>
      <c r="I56" s="163"/>
      <c r="J56" t="s">
        <v>1043</v>
      </c>
      <c r="K56" s="163"/>
      <c r="L56" s="163"/>
    </row>
    <row r="57" spans="1:12" ht="15" x14ac:dyDescent="0.25">
      <c r="A57" t="s">
        <v>478</v>
      </c>
      <c r="B57">
        <v>861382</v>
      </c>
      <c r="C57" s="167">
        <v>44572.499305555553</v>
      </c>
      <c r="D57" t="s">
        <v>648</v>
      </c>
      <c r="E57" t="s">
        <v>633</v>
      </c>
      <c r="F57">
        <v>334599</v>
      </c>
      <c r="G57">
        <v>24.3</v>
      </c>
      <c r="H57">
        <v>0</v>
      </c>
      <c r="I57" s="163"/>
      <c r="J57" t="s">
        <v>1044</v>
      </c>
      <c r="K57" s="163"/>
      <c r="L57" s="163"/>
    </row>
    <row r="58" spans="1:12" ht="15" x14ac:dyDescent="0.25">
      <c r="A58" t="s">
        <v>478</v>
      </c>
      <c r="B58">
        <v>861397</v>
      </c>
      <c r="C58" s="167">
        <v>44572.501388888886</v>
      </c>
      <c r="D58" t="s">
        <v>649</v>
      </c>
      <c r="E58" t="s">
        <v>635</v>
      </c>
      <c r="F58">
        <v>252970</v>
      </c>
      <c r="G58">
        <v>265.02</v>
      </c>
      <c r="H58">
        <v>0</v>
      </c>
      <c r="I58" s="163"/>
      <c r="J58" t="s">
        <v>1045</v>
      </c>
      <c r="K58" s="163"/>
      <c r="L58" s="163"/>
    </row>
    <row r="59" spans="1:12" ht="15" x14ac:dyDescent="0.25">
      <c r="A59" t="s">
        <v>478</v>
      </c>
      <c r="B59">
        <v>865664</v>
      </c>
      <c r="C59" s="167">
        <v>44589.029861111114</v>
      </c>
      <c r="D59" t="s">
        <v>621</v>
      </c>
      <c r="E59" t="s">
        <v>633</v>
      </c>
      <c r="F59">
        <v>337052</v>
      </c>
      <c r="G59">
        <v>6</v>
      </c>
      <c r="H59">
        <v>0</v>
      </c>
      <c r="I59" s="163"/>
      <c r="J59" t="s">
        <v>1042</v>
      </c>
      <c r="K59" s="163"/>
      <c r="L59" s="163"/>
    </row>
    <row r="60" spans="1:12" ht="15" x14ac:dyDescent="0.25">
      <c r="A60" t="s">
        <v>471</v>
      </c>
      <c r="B60">
        <v>861567</v>
      </c>
      <c r="C60" s="167">
        <v>44573.449305555558</v>
      </c>
      <c r="D60" t="s">
        <v>807</v>
      </c>
      <c r="F60">
        <v>0</v>
      </c>
      <c r="G60">
        <v>0</v>
      </c>
      <c r="H60">
        <v>68.400000000000006</v>
      </c>
      <c r="I60" s="163"/>
      <c r="J60" t="s">
        <v>1043</v>
      </c>
      <c r="K60" s="163"/>
      <c r="L60" s="163"/>
    </row>
    <row r="61" spans="1:12" ht="15" x14ac:dyDescent="0.25">
      <c r="A61" t="s">
        <v>471</v>
      </c>
      <c r="B61">
        <v>861567</v>
      </c>
      <c r="C61" s="167">
        <v>44573.449305555558</v>
      </c>
      <c r="D61" t="s">
        <v>642</v>
      </c>
      <c r="E61" t="s">
        <v>633</v>
      </c>
      <c r="F61">
        <v>334669</v>
      </c>
      <c r="G61">
        <v>5.75</v>
      </c>
      <c r="H61">
        <v>0</v>
      </c>
      <c r="I61" s="163"/>
      <c r="J61" t="s">
        <v>1044</v>
      </c>
      <c r="K61" s="163"/>
      <c r="L61" s="163"/>
    </row>
    <row r="62" spans="1:12" ht="15" x14ac:dyDescent="0.25">
      <c r="A62" t="s">
        <v>471</v>
      </c>
      <c r="B62">
        <v>861575</v>
      </c>
      <c r="C62" s="167">
        <v>44573.450694444444</v>
      </c>
      <c r="D62" t="s">
        <v>643</v>
      </c>
      <c r="E62" t="s">
        <v>635</v>
      </c>
      <c r="F62">
        <v>253032</v>
      </c>
      <c r="G62">
        <v>56.65</v>
      </c>
      <c r="H62">
        <v>0</v>
      </c>
      <c r="I62" s="163"/>
      <c r="J62" t="s">
        <v>1045</v>
      </c>
      <c r="K62" s="163"/>
      <c r="L62" s="163"/>
    </row>
    <row r="63" spans="1:12" ht="15" x14ac:dyDescent="0.25">
      <c r="A63" t="s">
        <v>471</v>
      </c>
      <c r="B63">
        <v>862219</v>
      </c>
      <c r="C63" s="167">
        <v>44575.503472222219</v>
      </c>
      <c r="D63" t="s">
        <v>820</v>
      </c>
      <c r="F63">
        <v>0</v>
      </c>
      <c r="G63">
        <v>0</v>
      </c>
      <c r="H63">
        <v>347</v>
      </c>
      <c r="I63" s="163"/>
      <c r="J63" t="s">
        <v>1043</v>
      </c>
      <c r="K63" s="163"/>
      <c r="L63" s="163"/>
    </row>
    <row r="64" spans="1:12" ht="15" x14ac:dyDescent="0.25">
      <c r="A64" t="s">
        <v>471</v>
      </c>
      <c r="B64">
        <v>862219</v>
      </c>
      <c r="C64" s="167">
        <v>44575.503472222219</v>
      </c>
      <c r="D64" t="s">
        <v>642</v>
      </c>
      <c r="E64" t="s">
        <v>633</v>
      </c>
      <c r="F64">
        <v>334888</v>
      </c>
      <c r="G64">
        <v>29.15</v>
      </c>
      <c r="H64">
        <v>0</v>
      </c>
      <c r="I64" s="163"/>
      <c r="J64" t="s">
        <v>1044</v>
      </c>
      <c r="K64" s="163"/>
      <c r="L64" s="163"/>
    </row>
    <row r="65" spans="1:12" ht="15" x14ac:dyDescent="0.25">
      <c r="A65" t="s">
        <v>471</v>
      </c>
      <c r="B65">
        <v>862226</v>
      </c>
      <c r="C65" s="167">
        <v>44575.507638888892</v>
      </c>
      <c r="D65" t="s">
        <v>643</v>
      </c>
      <c r="E65" t="s">
        <v>635</v>
      </c>
      <c r="F65">
        <v>253354</v>
      </c>
      <c r="G65">
        <v>317.85000000000002</v>
      </c>
      <c r="H65">
        <v>0</v>
      </c>
      <c r="I65" s="163"/>
      <c r="J65" t="s">
        <v>1045</v>
      </c>
      <c r="K65" s="163"/>
      <c r="L65" s="163"/>
    </row>
    <row r="66" spans="1:12" ht="15" x14ac:dyDescent="0.25">
      <c r="A66" t="s">
        <v>471</v>
      </c>
      <c r="B66">
        <v>865664</v>
      </c>
      <c r="C66" s="167">
        <v>44589.029861111114</v>
      </c>
      <c r="D66" t="s">
        <v>620</v>
      </c>
      <c r="E66" t="s">
        <v>633</v>
      </c>
      <c r="F66">
        <v>336927</v>
      </c>
      <c r="G66">
        <v>6</v>
      </c>
      <c r="H66">
        <v>0</v>
      </c>
      <c r="I66" s="163"/>
      <c r="J66" t="s">
        <v>1042</v>
      </c>
      <c r="K66" s="163"/>
      <c r="L66" s="163"/>
    </row>
    <row r="67" spans="1:12" ht="15" x14ac:dyDescent="0.25">
      <c r="A67" t="s">
        <v>489</v>
      </c>
      <c r="B67">
        <v>861383</v>
      </c>
      <c r="C67" s="167">
        <v>44572.499305555553</v>
      </c>
      <c r="D67" t="s">
        <v>808</v>
      </c>
      <c r="F67">
        <v>0</v>
      </c>
      <c r="G67">
        <v>0</v>
      </c>
      <c r="H67">
        <v>116.16</v>
      </c>
      <c r="I67" s="163"/>
      <c r="J67" t="s">
        <v>1043</v>
      </c>
      <c r="K67" s="163"/>
      <c r="L67" s="163"/>
    </row>
    <row r="68" spans="1:12" ht="15" x14ac:dyDescent="0.25">
      <c r="A68" t="s">
        <v>489</v>
      </c>
      <c r="B68">
        <v>861383</v>
      </c>
      <c r="C68" s="167">
        <v>44572.499305555553</v>
      </c>
      <c r="D68" t="s">
        <v>650</v>
      </c>
      <c r="E68" t="s">
        <v>633</v>
      </c>
      <c r="F68">
        <v>334600</v>
      </c>
      <c r="G68">
        <v>9.76</v>
      </c>
      <c r="H68">
        <v>0</v>
      </c>
      <c r="I68" s="163"/>
      <c r="J68" t="s">
        <v>1044</v>
      </c>
      <c r="K68" s="163"/>
      <c r="L68" s="163"/>
    </row>
    <row r="69" spans="1:12" ht="15" x14ac:dyDescent="0.25">
      <c r="A69" t="s">
        <v>489</v>
      </c>
      <c r="B69">
        <v>861397</v>
      </c>
      <c r="C69" s="167">
        <v>44572.501388888886</v>
      </c>
      <c r="D69" t="s">
        <v>651</v>
      </c>
      <c r="E69" t="s">
        <v>635</v>
      </c>
      <c r="F69">
        <v>252971</v>
      </c>
      <c r="G69">
        <v>100.4</v>
      </c>
      <c r="H69">
        <v>0</v>
      </c>
      <c r="I69" s="163"/>
      <c r="J69" t="s">
        <v>1045</v>
      </c>
      <c r="K69" s="163"/>
      <c r="L69" s="163"/>
    </row>
    <row r="70" spans="1:12" ht="15" x14ac:dyDescent="0.25">
      <c r="A70" t="s">
        <v>489</v>
      </c>
      <c r="B70">
        <v>862222</v>
      </c>
      <c r="C70" s="167">
        <v>44575.503472222219</v>
      </c>
      <c r="D70" t="s">
        <v>821</v>
      </c>
      <c r="F70">
        <v>0</v>
      </c>
      <c r="G70">
        <v>0</v>
      </c>
      <c r="H70">
        <v>345.36</v>
      </c>
      <c r="I70" s="163"/>
      <c r="J70" t="s">
        <v>1043</v>
      </c>
      <c r="K70" s="163"/>
      <c r="L70" s="163"/>
    </row>
    <row r="71" spans="1:12" ht="15" x14ac:dyDescent="0.25">
      <c r="A71" t="s">
        <v>489</v>
      </c>
      <c r="B71">
        <v>862222</v>
      </c>
      <c r="C71" s="167">
        <v>44575.503472222219</v>
      </c>
      <c r="D71" t="s">
        <v>650</v>
      </c>
      <c r="E71" t="s">
        <v>633</v>
      </c>
      <c r="F71">
        <v>334891</v>
      </c>
      <c r="G71">
        <v>29.02</v>
      </c>
      <c r="H71">
        <v>0</v>
      </c>
      <c r="I71" s="163"/>
      <c r="J71" t="s">
        <v>1044</v>
      </c>
      <c r="K71" s="163"/>
      <c r="L71" s="163"/>
    </row>
    <row r="72" spans="1:12" ht="15" x14ac:dyDescent="0.25">
      <c r="A72" t="s">
        <v>489</v>
      </c>
      <c r="B72">
        <v>862226</v>
      </c>
      <c r="C72" s="167">
        <v>44575.507638888892</v>
      </c>
      <c r="D72" t="s">
        <v>651</v>
      </c>
      <c r="E72" t="s">
        <v>635</v>
      </c>
      <c r="F72">
        <v>253357</v>
      </c>
      <c r="G72">
        <v>316.33999999999997</v>
      </c>
      <c r="H72">
        <v>0</v>
      </c>
      <c r="I72" s="163"/>
      <c r="J72" t="s">
        <v>1045</v>
      </c>
      <c r="K72" s="163"/>
      <c r="L72" s="163"/>
    </row>
    <row r="73" spans="1:12" ht="15" x14ac:dyDescent="0.25">
      <c r="A73" t="s">
        <v>489</v>
      </c>
      <c r="B73">
        <v>865664</v>
      </c>
      <c r="C73" s="167">
        <v>44589.029861111114</v>
      </c>
      <c r="D73" t="s">
        <v>629</v>
      </c>
      <c r="E73" t="s">
        <v>633</v>
      </c>
      <c r="F73">
        <v>336880</v>
      </c>
      <c r="G73">
        <v>6</v>
      </c>
      <c r="H73">
        <v>0</v>
      </c>
      <c r="I73" s="163"/>
      <c r="J73" t="s">
        <v>1042</v>
      </c>
      <c r="K73" s="163"/>
      <c r="L73" s="163"/>
    </row>
    <row r="74" spans="1:12" ht="15" x14ac:dyDescent="0.25">
      <c r="A74" t="s">
        <v>555</v>
      </c>
      <c r="B74">
        <v>865664</v>
      </c>
      <c r="C74" s="167">
        <v>44589.029861111114</v>
      </c>
      <c r="D74" t="s">
        <v>626</v>
      </c>
      <c r="E74" t="s">
        <v>633</v>
      </c>
      <c r="F74">
        <v>336938</v>
      </c>
      <c r="G74">
        <v>6</v>
      </c>
      <c r="H74">
        <v>0</v>
      </c>
      <c r="I74" s="163"/>
      <c r="J74" t="s">
        <v>1042</v>
      </c>
      <c r="K74" s="163"/>
      <c r="L74" s="163"/>
    </row>
    <row r="75" spans="1:12" ht="15" x14ac:dyDescent="0.25">
      <c r="A75" t="s">
        <v>479</v>
      </c>
      <c r="B75">
        <v>860409</v>
      </c>
      <c r="C75" s="167">
        <v>44566.659722222219</v>
      </c>
      <c r="D75" t="s">
        <v>1013</v>
      </c>
      <c r="F75">
        <v>0</v>
      </c>
      <c r="G75">
        <v>0</v>
      </c>
      <c r="H75">
        <v>500</v>
      </c>
      <c r="I75" s="163"/>
      <c r="J75" t="s">
        <v>1043</v>
      </c>
      <c r="K75" s="163"/>
      <c r="L75" s="163"/>
    </row>
    <row r="76" spans="1:12" ht="15" x14ac:dyDescent="0.25">
      <c r="A76" t="s">
        <v>479</v>
      </c>
      <c r="B76">
        <v>860409</v>
      </c>
      <c r="C76" s="167">
        <v>44566.659722222219</v>
      </c>
      <c r="D76" t="s">
        <v>1014</v>
      </c>
      <c r="E76" t="s">
        <v>633</v>
      </c>
      <c r="F76">
        <v>333923</v>
      </c>
      <c r="G76">
        <v>42</v>
      </c>
      <c r="H76">
        <v>0</v>
      </c>
      <c r="I76" s="163"/>
      <c r="J76" t="s">
        <v>1044</v>
      </c>
      <c r="K76" s="163"/>
      <c r="L76" s="163"/>
    </row>
    <row r="77" spans="1:12" ht="15" x14ac:dyDescent="0.25">
      <c r="A77" t="s">
        <v>479</v>
      </c>
      <c r="B77">
        <v>860432</v>
      </c>
      <c r="C77" s="167">
        <v>44566.663194444445</v>
      </c>
      <c r="D77" t="s">
        <v>1015</v>
      </c>
      <c r="E77" t="s">
        <v>635</v>
      </c>
      <c r="F77">
        <v>252603</v>
      </c>
      <c r="G77">
        <v>452</v>
      </c>
      <c r="H77">
        <v>0</v>
      </c>
      <c r="I77" s="163"/>
      <c r="J77" t="s">
        <v>1045</v>
      </c>
      <c r="K77" s="163"/>
      <c r="L77" s="163"/>
    </row>
    <row r="78" spans="1:12" ht="15" x14ac:dyDescent="0.25">
      <c r="A78" t="s">
        <v>479</v>
      </c>
      <c r="B78">
        <v>865664</v>
      </c>
      <c r="C78" s="167">
        <v>44589.029861111114</v>
      </c>
      <c r="D78" t="s">
        <v>1016</v>
      </c>
      <c r="E78" t="s">
        <v>633</v>
      </c>
      <c r="F78">
        <v>337053</v>
      </c>
      <c r="G78">
        <v>6</v>
      </c>
      <c r="H78">
        <v>0</v>
      </c>
      <c r="I78" s="163"/>
      <c r="J78" t="s">
        <v>1042</v>
      </c>
      <c r="K78" s="163"/>
      <c r="L78" s="163"/>
    </row>
    <row r="79" spans="1:12" ht="15" x14ac:dyDescent="0.25">
      <c r="A79" t="s">
        <v>487</v>
      </c>
      <c r="B79">
        <v>863080</v>
      </c>
      <c r="C79" s="167">
        <v>44579.563888888886</v>
      </c>
      <c r="D79" t="s">
        <v>1017</v>
      </c>
      <c r="F79">
        <v>0</v>
      </c>
      <c r="G79">
        <v>0</v>
      </c>
      <c r="H79">
        <v>525</v>
      </c>
      <c r="I79" s="163"/>
      <c r="J79" t="s">
        <v>1043</v>
      </c>
      <c r="K79" s="163"/>
      <c r="L79" s="163"/>
    </row>
    <row r="80" spans="1:12" ht="15" x14ac:dyDescent="0.25">
      <c r="A80" t="s">
        <v>487</v>
      </c>
      <c r="B80">
        <v>863080</v>
      </c>
      <c r="C80" s="167">
        <v>44579.563888888886</v>
      </c>
      <c r="D80" t="s">
        <v>1018</v>
      </c>
      <c r="E80" t="s">
        <v>633</v>
      </c>
      <c r="F80">
        <v>335417</v>
      </c>
      <c r="G80">
        <v>44.1</v>
      </c>
      <c r="H80">
        <v>0</v>
      </c>
      <c r="I80" s="163"/>
      <c r="J80" t="s">
        <v>1044</v>
      </c>
      <c r="K80" s="163"/>
      <c r="L80" s="163"/>
    </row>
    <row r="81" spans="1:12" ht="15" x14ac:dyDescent="0.25">
      <c r="A81" t="s">
        <v>487</v>
      </c>
      <c r="B81">
        <v>863095</v>
      </c>
      <c r="C81" s="167">
        <v>44579.568055555559</v>
      </c>
      <c r="D81" t="s">
        <v>1019</v>
      </c>
      <c r="E81" t="s">
        <v>635</v>
      </c>
      <c r="F81">
        <v>253740</v>
      </c>
      <c r="G81">
        <v>474.9</v>
      </c>
      <c r="H81">
        <v>0</v>
      </c>
      <c r="I81" s="163"/>
      <c r="J81" t="s">
        <v>1045</v>
      </c>
      <c r="K81" s="163"/>
      <c r="L81" s="163"/>
    </row>
    <row r="82" spans="1:12" ht="15" x14ac:dyDescent="0.25">
      <c r="A82" t="s">
        <v>487</v>
      </c>
      <c r="B82">
        <v>865664</v>
      </c>
      <c r="C82" s="167">
        <v>44589.029861111114</v>
      </c>
      <c r="D82" t="s">
        <v>1020</v>
      </c>
      <c r="E82" t="s">
        <v>633</v>
      </c>
      <c r="F82">
        <v>336876</v>
      </c>
      <c r="G82">
        <v>6</v>
      </c>
      <c r="H82">
        <v>0</v>
      </c>
      <c r="I82" s="163"/>
      <c r="J82" t="s">
        <v>1042</v>
      </c>
      <c r="K82" s="163"/>
      <c r="L82" s="163"/>
    </row>
    <row r="83" spans="1:12" ht="15" x14ac:dyDescent="0.25">
      <c r="A83" t="s">
        <v>488</v>
      </c>
      <c r="B83">
        <v>861381</v>
      </c>
      <c r="C83" s="167">
        <v>44572.499305555553</v>
      </c>
      <c r="D83" t="s">
        <v>1021</v>
      </c>
      <c r="F83">
        <v>0</v>
      </c>
      <c r="G83">
        <v>0</v>
      </c>
      <c r="H83">
        <v>111.92</v>
      </c>
      <c r="I83" s="163"/>
      <c r="J83" t="s">
        <v>1043</v>
      </c>
      <c r="K83" s="163"/>
      <c r="L83" s="163"/>
    </row>
    <row r="84" spans="1:12" ht="15" x14ac:dyDescent="0.25">
      <c r="A84" t="s">
        <v>488</v>
      </c>
      <c r="B84">
        <v>861381</v>
      </c>
      <c r="C84" s="167">
        <v>44572.499305555553</v>
      </c>
      <c r="D84" t="s">
        <v>1022</v>
      </c>
      <c r="E84" t="s">
        <v>633</v>
      </c>
      <c r="F84">
        <v>334598</v>
      </c>
      <c r="G84">
        <v>9.4</v>
      </c>
      <c r="H84">
        <v>0</v>
      </c>
      <c r="I84" s="163"/>
      <c r="J84" t="s">
        <v>1044</v>
      </c>
      <c r="K84" s="163"/>
      <c r="L84" s="163"/>
    </row>
    <row r="85" spans="1:12" ht="15" x14ac:dyDescent="0.25">
      <c r="A85" t="s">
        <v>488</v>
      </c>
      <c r="B85">
        <v>861397</v>
      </c>
      <c r="C85" s="167">
        <v>44572.501388888886</v>
      </c>
      <c r="D85" t="s">
        <v>1023</v>
      </c>
      <c r="E85" t="s">
        <v>635</v>
      </c>
      <c r="F85">
        <v>252969</v>
      </c>
      <c r="G85">
        <v>96.52</v>
      </c>
      <c r="H85">
        <v>0</v>
      </c>
      <c r="I85" s="163"/>
      <c r="J85" t="s">
        <v>1045</v>
      </c>
      <c r="K85" s="163"/>
      <c r="L85" s="163"/>
    </row>
    <row r="86" spans="1:12" ht="15" x14ac:dyDescent="0.25">
      <c r="A86" t="s">
        <v>488</v>
      </c>
      <c r="B86">
        <v>865105</v>
      </c>
      <c r="C86" s="167">
        <v>44586.496527777781</v>
      </c>
      <c r="D86" t="s">
        <v>1024</v>
      </c>
      <c r="F86">
        <v>0</v>
      </c>
      <c r="G86">
        <v>0</v>
      </c>
      <c r="H86">
        <v>340.4</v>
      </c>
      <c r="I86" s="163"/>
      <c r="J86" t="s">
        <v>1043</v>
      </c>
      <c r="K86" s="163"/>
      <c r="L86" s="163"/>
    </row>
    <row r="87" spans="1:12" ht="15" x14ac:dyDescent="0.25">
      <c r="A87" t="s">
        <v>488</v>
      </c>
      <c r="B87">
        <v>865105</v>
      </c>
      <c r="C87" s="167">
        <v>44586.496527777781</v>
      </c>
      <c r="D87" t="s">
        <v>1022</v>
      </c>
      <c r="E87" t="s">
        <v>633</v>
      </c>
      <c r="F87">
        <v>335892</v>
      </c>
      <c r="G87">
        <v>28.6</v>
      </c>
      <c r="H87">
        <v>0</v>
      </c>
      <c r="I87" s="163"/>
      <c r="J87" t="s">
        <v>1044</v>
      </c>
      <c r="K87" s="163"/>
      <c r="L87" s="163"/>
    </row>
    <row r="88" spans="1:12" ht="15" x14ac:dyDescent="0.25">
      <c r="A88" t="s">
        <v>488</v>
      </c>
      <c r="B88">
        <v>865116</v>
      </c>
      <c r="C88" s="167">
        <v>44586.500694444447</v>
      </c>
      <c r="D88" t="s">
        <v>1023</v>
      </c>
      <c r="E88" t="s">
        <v>635</v>
      </c>
      <c r="F88">
        <v>254552</v>
      </c>
      <c r="G88">
        <v>311.8</v>
      </c>
      <c r="H88">
        <v>0</v>
      </c>
      <c r="I88" s="163"/>
      <c r="J88" t="s">
        <v>1045</v>
      </c>
      <c r="K88" s="163"/>
      <c r="L88" s="163"/>
    </row>
    <row r="89" spans="1:12" ht="15" x14ac:dyDescent="0.25">
      <c r="A89" t="s">
        <v>488</v>
      </c>
      <c r="B89">
        <v>865664</v>
      </c>
      <c r="C89" s="167">
        <v>44589.029861111114</v>
      </c>
      <c r="D89" t="s">
        <v>1025</v>
      </c>
      <c r="E89" t="s">
        <v>633</v>
      </c>
      <c r="F89">
        <v>336879</v>
      </c>
      <c r="G89">
        <v>6</v>
      </c>
      <c r="H89">
        <v>0</v>
      </c>
      <c r="I89" s="163"/>
      <c r="J89" t="s">
        <v>1042</v>
      </c>
      <c r="K89" s="163"/>
      <c r="L89" s="163"/>
    </row>
    <row r="90" spans="1:12" ht="15" x14ac:dyDescent="0.25">
      <c r="A90" t="s">
        <v>493</v>
      </c>
      <c r="B90">
        <v>861376</v>
      </c>
      <c r="C90" s="167">
        <v>44572.499305555553</v>
      </c>
      <c r="D90" t="s">
        <v>1026</v>
      </c>
      <c r="F90">
        <v>0</v>
      </c>
      <c r="G90">
        <v>0</v>
      </c>
      <c r="H90">
        <v>386.24</v>
      </c>
      <c r="I90" s="163"/>
      <c r="J90" t="s">
        <v>1043</v>
      </c>
      <c r="K90" s="163"/>
      <c r="L90" s="163"/>
    </row>
    <row r="91" spans="1:12" ht="15" x14ac:dyDescent="0.25">
      <c r="A91" t="s">
        <v>493</v>
      </c>
      <c r="B91">
        <v>861376</v>
      </c>
      <c r="C91" s="167">
        <v>44572.499305555553</v>
      </c>
      <c r="D91" t="s">
        <v>1027</v>
      </c>
      <c r="E91" t="s">
        <v>633</v>
      </c>
      <c r="F91">
        <v>334593</v>
      </c>
      <c r="G91">
        <v>27.8</v>
      </c>
      <c r="H91">
        <v>0</v>
      </c>
      <c r="I91" s="163"/>
      <c r="J91" t="s">
        <v>1044</v>
      </c>
      <c r="K91" s="163"/>
      <c r="L91" s="163"/>
    </row>
    <row r="92" spans="1:12" ht="15" x14ac:dyDescent="0.25">
      <c r="A92" t="s">
        <v>493</v>
      </c>
      <c r="B92">
        <v>861397</v>
      </c>
      <c r="C92" s="167">
        <v>44572.501388888886</v>
      </c>
      <c r="D92" t="s">
        <v>1028</v>
      </c>
      <c r="E92" t="s">
        <v>635</v>
      </c>
      <c r="F92">
        <v>252964</v>
      </c>
      <c r="G92">
        <v>352.44</v>
      </c>
      <c r="H92">
        <v>0</v>
      </c>
      <c r="I92" s="163"/>
      <c r="J92" t="s">
        <v>1045</v>
      </c>
      <c r="K92" s="163"/>
      <c r="L92" s="163"/>
    </row>
    <row r="93" spans="1:12" ht="15" x14ac:dyDescent="0.25">
      <c r="A93" t="s">
        <v>493</v>
      </c>
      <c r="B93">
        <v>863377</v>
      </c>
      <c r="C93" s="167">
        <v>44580.417361111111</v>
      </c>
      <c r="D93" t="s">
        <v>1029</v>
      </c>
      <c r="F93">
        <v>0</v>
      </c>
      <c r="G93">
        <v>0</v>
      </c>
      <c r="H93">
        <v>75.28</v>
      </c>
      <c r="I93" s="163"/>
      <c r="J93" t="s">
        <v>1043</v>
      </c>
      <c r="K93" s="163"/>
      <c r="L93" s="163"/>
    </row>
    <row r="94" spans="1:12" ht="15" x14ac:dyDescent="0.25">
      <c r="A94" t="s">
        <v>493</v>
      </c>
      <c r="B94">
        <v>863377</v>
      </c>
      <c r="C94" s="167">
        <v>44580.417361111111</v>
      </c>
      <c r="D94" t="s">
        <v>1027</v>
      </c>
      <c r="E94" t="s">
        <v>633</v>
      </c>
      <c r="F94">
        <v>335480</v>
      </c>
      <c r="G94">
        <v>5.42</v>
      </c>
      <c r="H94">
        <v>0</v>
      </c>
      <c r="I94" s="163"/>
      <c r="J94" t="s">
        <v>1044</v>
      </c>
      <c r="K94" s="163"/>
      <c r="L94" s="163"/>
    </row>
    <row r="95" spans="1:12" ht="15" x14ac:dyDescent="0.25">
      <c r="A95" t="s">
        <v>493</v>
      </c>
      <c r="B95">
        <v>863381</v>
      </c>
      <c r="C95" s="167">
        <v>44580.419444444444</v>
      </c>
      <c r="D95" t="s">
        <v>1028</v>
      </c>
      <c r="E95" t="s">
        <v>635</v>
      </c>
      <c r="F95">
        <v>253832</v>
      </c>
      <c r="G95">
        <v>69.86</v>
      </c>
      <c r="H95">
        <v>0</v>
      </c>
      <c r="I95" s="163"/>
      <c r="J95" t="s">
        <v>1045</v>
      </c>
      <c r="K95" s="163"/>
      <c r="L95" s="163"/>
    </row>
    <row r="96" spans="1:12" ht="15" x14ac:dyDescent="0.25">
      <c r="A96" t="s">
        <v>493</v>
      </c>
      <c r="B96">
        <v>865664</v>
      </c>
      <c r="C96" s="167">
        <v>44589.029861111114</v>
      </c>
      <c r="D96" t="s">
        <v>1030</v>
      </c>
      <c r="E96" t="s">
        <v>633</v>
      </c>
      <c r="F96">
        <v>336875</v>
      </c>
      <c r="G96">
        <v>6</v>
      </c>
      <c r="H96">
        <v>0</v>
      </c>
      <c r="I96" s="163"/>
      <c r="J96" t="s">
        <v>1042</v>
      </c>
      <c r="K96" s="163"/>
      <c r="L96" s="163"/>
    </row>
    <row r="97" spans="1:12" ht="15" x14ac:dyDescent="0.25">
      <c r="A97" t="s">
        <v>499</v>
      </c>
      <c r="B97">
        <v>861566</v>
      </c>
      <c r="C97" s="167">
        <v>44573.449305555558</v>
      </c>
      <c r="D97" t="s">
        <v>1031</v>
      </c>
      <c r="F97">
        <v>0</v>
      </c>
      <c r="G97">
        <v>0</v>
      </c>
      <c r="H97">
        <v>38.79</v>
      </c>
      <c r="I97" s="163"/>
      <c r="J97" t="s">
        <v>1043</v>
      </c>
      <c r="K97" s="163"/>
      <c r="L97" s="163"/>
    </row>
    <row r="98" spans="1:12" ht="15" x14ac:dyDescent="0.25">
      <c r="A98" t="s">
        <v>499</v>
      </c>
      <c r="B98">
        <v>861566</v>
      </c>
      <c r="C98" s="167">
        <v>44573.449305555558</v>
      </c>
      <c r="D98" t="s">
        <v>1032</v>
      </c>
      <c r="E98" t="s">
        <v>633</v>
      </c>
      <c r="F98">
        <v>334668</v>
      </c>
      <c r="G98">
        <v>3.26</v>
      </c>
      <c r="H98">
        <v>0</v>
      </c>
      <c r="I98" s="163"/>
      <c r="J98" t="s">
        <v>1044</v>
      </c>
      <c r="K98" s="163"/>
      <c r="L98" s="163"/>
    </row>
    <row r="99" spans="1:12" ht="15" x14ac:dyDescent="0.25">
      <c r="A99" t="s">
        <v>499</v>
      </c>
      <c r="B99">
        <v>861575</v>
      </c>
      <c r="C99" s="167">
        <v>44573.450694444444</v>
      </c>
      <c r="D99" t="s">
        <v>1033</v>
      </c>
      <c r="E99" t="s">
        <v>635</v>
      </c>
      <c r="F99">
        <v>253031</v>
      </c>
      <c r="G99">
        <v>29.53</v>
      </c>
      <c r="H99">
        <v>0</v>
      </c>
      <c r="I99" s="163"/>
      <c r="J99" t="s">
        <v>1045</v>
      </c>
      <c r="K99" s="163"/>
      <c r="L99" s="163"/>
    </row>
    <row r="100" spans="1:12" ht="15" x14ac:dyDescent="0.25">
      <c r="A100" t="s">
        <v>499</v>
      </c>
      <c r="B100">
        <v>863376</v>
      </c>
      <c r="C100" s="167">
        <v>44580.417361111111</v>
      </c>
      <c r="D100" t="s">
        <v>1034</v>
      </c>
      <c r="F100">
        <v>0</v>
      </c>
      <c r="G100">
        <v>0</v>
      </c>
      <c r="H100">
        <v>427.37</v>
      </c>
      <c r="I100" s="163"/>
      <c r="J100" t="s">
        <v>1043</v>
      </c>
      <c r="K100" s="163"/>
      <c r="L100" s="163"/>
    </row>
    <row r="101" spans="1:12" ht="15" x14ac:dyDescent="0.25">
      <c r="A101" t="s">
        <v>499</v>
      </c>
      <c r="B101">
        <v>863376</v>
      </c>
      <c r="C101" s="167">
        <v>44580.417361111111</v>
      </c>
      <c r="D101" t="s">
        <v>1032</v>
      </c>
      <c r="E101" t="s">
        <v>633</v>
      </c>
      <c r="F101">
        <v>335479</v>
      </c>
      <c r="G101">
        <v>35.9</v>
      </c>
      <c r="H101">
        <v>0</v>
      </c>
      <c r="I101" s="163"/>
      <c r="J101" t="s">
        <v>1044</v>
      </c>
      <c r="K101" s="163"/>
      <c r="L101" s="163"/>
    </row>
    <row r="102" spans="1:12" ht="15" x14ac:dyDescent="0.25">
      <c r="A102" t="s">
        <v>499</v>
      </c>
      <c r="B102">
        <v>863381</v>
      </c>
      <c r="C102" s="167">
        <v>44580.419444444444</v>
      </c>
      <c r="D102" t="s">
        <v>1033</v>
      </c>
      <c r="E102" t="s">
        <v>635</v>
      </c>
      <c r="F102">
        <v>253831</v>
      </c>
      <c r="G102">
        <v>391.47</v>
      </c>
      <c r="H102">
        <v>0</v>
      </c>
      <c r="I102" s="163"/>
      <c r="J102" t="s">
        <v>1045</v>
      </c>
      <c r="K102" s="163"/>
      <c r="L102" s="163"/>
    </row>
    <row r="103" spans="1:12" ht="15" x14ac:dyDescent="0.25">
      <c r="A103" t="s">
        <v>499</v>
      </c>
      <c r="B103">
        <v>865664</v>
      </c>
      <c r="C103" s="167">
        <v>44589.029861111114</v>
      </c>
      <c r="D103" t="s">
        <v>1035</v>
      </c>
      <c r="E103" t="s">
        <v>633</v>
      </c>
      <c r="F103">
        <v>336916</v>
      </c>
      <c r="G103">
        <v>6</v>
      </c>
      <c r="H103">
        <v>0</v>
      </c>
      <c r="I103" s="163"/>
      <c r="J103" t="s">
        <v>1042</v>
      </c>
      <c r="K103" s="163"/>
      <c r="L103" s="163"/>
    </row>
    <row r="104" spans="1:12" ht="15" x14ac:dyDescent="0.25">
      <c r="A104" t="s">
        <v>501</v>
      </c>
      <c r="B104">
        <v>865664</v>
      </c>
      <c r="C104" s="167">
        <v>44589.029861111114</v>
      </c>
      <c r="D104" t="s">
        <v>1036</v>
      </c>
      <c r="E104" t="s">
        <v>633</v>
      </c>
      <c r="F104">
        <v>336917</v>
      </c>
      <c r="G104">
        <v>6</v>
      </c>
      <c r="H104">
        <v>0</v>
      </c>
      <c r="I104" s="163"/>
      <c r="J104" t="s">
        <v>1042</v>
      </c>
      <c r="K104" s="163"/>
      <c r="L104" s="163"/>
    </row>
    <row r="105" spans="1:12" ht="15" x14ac:dyDescent="0.25">
      <c r="C105" s="167"/>
      <c r="I105" s="163"/>
      <c r="K105" s="163"/>
      <c r="L105" s="163"/>
    </row>
    <row r="106" spans="1:12" ht="15" x14ac:dyDescent="0.25">
      <c r="C106" s="167"/>
      <c r="I106" s="163"/>
      <c r="K106" s="163"/>
      <c r="L106" s="163"/>
    </row>
    <row r="107" spans="1:12" ht="15" x14ac:dyDescent="0.25">
      <c r="C107" s="167"/>
      <c r="I107" s="163"/>
      <c r="K107" s="163"/>
      <c r="L107" s="163"/>
    </row>
    <row r="108" spans="1:12" ht="15" x14ac:dyDescent="0.25">
      <c r="C108" s="65"/>
      <c r="I108" s="163"/>
      <c r="K108" s="163"/>
      <c r="L108" s="163"/>
    </row>
    <row r="109" spans="1:12" ht="15" x14ac:dyDescent="0.25">
      <c r="C109" s="65"/>
      <c r="I109" s="163"/>
      <c r="K109" s="163"/>
      <c r="L109" s="163"/>
    </row>
    <row r="110" spans="1:12" ht="15" x14ac:dyDescent="0.25">
      <c r="C110" s="65"/>
      <c r="I110" s="163"/>
      <c r="K110" s="163"/>
      <c r="L110" s="163"/>
    </row>
    <row r="111" spans="1:12" ht="15" x14ac:dyDescent="0.25">
      <c r="C111" s="65"/>
      <c r="I111" s="163"/>
      <c r="K111" s="163"/>
      <c r="L111" s="163"/>
    </row>
    <row r="112" spans="1:12" ht="15" x14ac:dyDescent="0.25">
      <c r="C112" s="65"/>
      <c r="I112" s="163"/>
      <c r="K112" s="163"/>
      <c r="L112" s="163"/>
    </row>
    <row r="113" spans="3:12" ht="15" x14ac:dyDescent="0.25">
      <c r="C113" s="65"/>
      <c r="I113" s="163"/>
      <c r="K113" s="163"/>
      <c r="L113" s="163"/>
    </row>
    <row r="114" spans="3:12" ht="15" x14ac:dyDescent="0.25">
      <c r="C114" s="65"/>
      <c r="I114" s="163"/>
      <c r="K114" s="163"/>
      <c r="L114" s="163"/>
    </row>
    <row r="115" spans="3:12" ht="15" x14ac:dyDescent="0.25">
      <c r="C115" s="65"/>
      <c r="I115" s="163"/>
      <c r="K115" s="163"/>
      <c r="L115" s="163"/>
    </row>
    <row r="116" spans="3:12" ht="15" x14ac:dyDescent="0.25">
      <c r="C116" s="65"/>
      <c r="I116" s="163"/>
      <c r="K116" s="163"/>
      <c r="L116" s="163"/>
    </row>
    <row r="117" spans="3:12" ht="15" x14ac:dyDescent="0.25">
      <c r="C117" s="65"/>
      <c r="I117" s="163"/>
      <c r="K117" s="163"/>
      <c r="L117" s="163"/>
    </row>
    <row r="118" spans="3:12" ht="15" x14ac:dyDescent="0.25">
      <c r="C118" s="65"/>
      <c r="I118" s="163"/>
      <c r="K118" s="163"/>
      <c r="L118" s="163"/>
    </row>
    <row r="119" spans="3:12" ht="15" x14ac:dyDescent="0.25">
      <c r="C119" s="65"/>
      <c r="I119" s="163"/>
      <c r="K119" s="163"/>
      <c r="L119" s="163"/>
    </row>
    <row r="120" spans="3:12" x14ac:dyDescent="0.2">
      <c r="C120" s="65"/>
    </row>
    <row r="121" spans="3:12" x14ac:dyDescent="0.2">
      <c r="C121" s="65"/>
    </row>
    <row r="122" spans="3:12" x14ac:dyDescent="0.2">
      <c r="C122" s="65"/>
    </row>
    <row r="123" spans="3:12" x14ac:dyDescent="0.2">
      <c r="C123" s="65"/>
    </row>
    <row r="124" spans="3:12" x14ac:dyDescent="0.2">
      <c r="C124" s="65"/>
    </row>
    <row r="125" spans="3:12" x14ac:dyDescent="0.2">
      <c r="C125" s="65"/>
    </row>
    <row r="126" spans="3:12" x14ac:dyDescent="0.2">
      <c r="C126" s="65"/>
    </row>
    <row r="127" spans="3:12" x14ac:dyDescent="0.2">
      <c r="C127" s="65"/>
    </row>
    <row r="128" spans="3:12" x14ac:dyDescent="0.2">
      <c r="C128" s="65"/>
    </row>
    <row r="129" spans="3:3" x14ac:dyDescent="0.2">
      <c r="C129" s="65"/>
    </row>
    <row r="130" spans="3:3" x14ac:dyDescent="0.2">
      <c r="C130" s="65"/>
    </row>
    <row r="131" spans="3:3" x14ac:dyDescent="0.2">
      <c r="C131" s="65"/>
    </row>
    <row r="132" spans="3:3" x14ac:dyDescent="0.2">
      <c r="C132" s="65"/>
    </row>
    <row r="133" spans="3:3" x14ac:dyDescent="0.2">
      <c r="C133" s="65"/>
    </row>
    <row r="134" spans="3:3" x14ac:dyDescent="0.2">
      <c r="C134" s="65"/>
    </row>
    <row r="135" spans="3:3" x14ac:dyDescent="0.2">
      <c r="C135" s="65"/>
    </row>
    <row r="136" spans="3:3" x14ac:dyDescent="0.2">
      <c r="C136" s="65"/>
    </row>
    <row r="137" spans="3:3" x14ac:dyDescent="0.2">
      <c r="C137" s="65"/>
    </row>
    <row r="138" spans="3:3" x14ac:dyDescent="0.2">
      <c r="C138" s="65"/>
    </row>
    <row r="139" spans="3:3" x14ac:dyDescent="0.2">
      <c r="C139" s="65"/>
    </row>
    <row r="140" spans="3:3" x14ac:dyDescent="0.2">
      <c r="C140" s="65"/>
    </row>
    <row r="141" spans="3:3" x14ac:dyDescent="0.2">
      <c r="C141" s="65"/>
    </row>
    <row r="142" spans="3:3" x14ac:dyDescent="0.2">
      <c r="C142" s="65"/>
    </row>
    <row r="143" spans="3:3" x14ac:dyDescent="0.2">
      <c r="C143" s="65"/>
    </row>
    <row r="144" spans="3:3" x14ac:dyDescent="0.2">
      <c r="C144" s="65"/>
    </row>
    <row r="145" spans="3:3" x14ac:dyDescent="0.2">
      <c r="C145" s="65"/>
    </row>
    <row r="146" spans="3:3" x14ac:dyDescent="0.2">
      <c r="C146" s="65"/>
    </row>
    <row r="147" spans="3:3" x14ac:dyDescent="0.2">
      <c r="C147" s="65"/>
    </row>
    <row r="148" spans="3:3" x14ac:dyDescent="0.2">
      <c r="C148" s="65"/>
    </row>
    <row r="149" spans="3:3" x14ac:dyDescent="0.2">
      <c r="C149" s="65"/>
    </row>
    <row r="150" spans="3:3" x14ac:dyDescent="0.2">
      <c r="C150" s="65"/>
    </row>
    <row r="151" spans="3:3" x14ac:dyDescent="0.2">
      <c r="C151" s="65"/>
    </row>
    <row r="152" spans="3:3" x14ac:dyDescent="0.2">
      <c r="C152" s="65"/>
    </row>
    <row r="153" spans="3:3" x14ac:dyDescent="0.2">
      <c r="C153" s="65"/>
    </row>
    <row r="154" spans="3:3" x14ac:dyDescent="0.2">
      <c r="C154" s="65"/>
    </row>
    <row r="155" spans="3:3" x14ac:dyDescent="0.2">
      <c r="C155" s="65"/>
    </row>
    <row r="156" spans="3:3" x14ac:dyDescent="0.2">
      <c r="C156" s="65"/>
    </row>
    <row r="157" spans="3:3" x14ac:dyDescent="0.2">
      <c r="C157" s="65"/>
    </row>
    <row r="158" spans="3:3" x14ac:dyDescent="0.2">
      <c r="C158" s="65"/>
    </row>
    <row r="159" spans="3:3" x14ac:dyDescent="0.2">
      <c r="C159" s="65"/>
    </row>
    <row r="160" spans="3:3" x14ac:dyDescent="0.2">
      <c r="C160" s="65"/>
    </row>
    <row r="161" spans="3:3" x14ac:dyDescent="0.2">
      <c r="C161" s="65"/>
    </row>
    <row r="162" spans="3:3" x14ac:dyDescent="0.2">
      <c r="C162" s="65"/>
    </row>
    <row r="163" spans="3:3" x14ac:dyDescent="0.2">
      <c r="C163" s="65"/>
    </row>
    <row r="164" spans="3:3" x14ac:dyDescent="0.2">
      <c r="C164" s="65"/>
    </row>
    <row r="165" spans="3:3" x14ac:dyDescent="0.2">
      <c r="C165" s="65"/>
    </row>
    <row r="166" spans="3:3" x14ac:dyDescent="0.2">
      <c r="C166" s="65"/>
    </row>
    <row r="167" spans="3:3" x14ac:dyDescent="0.2">
      <c r="C167" s="65"/>
    </row>
    <row r="168" spans="3:3" x14ac:dyDescent="0.2">
      <c r="C168" s="65"/>
    </row>
    <row r="169" spans="3:3" x14ac:dyDescent="0.2">
      <c r="C169" s="65"/>
    </row>
    <row r="170" spans="3:3" x14ac:dyDescent="0.2">
      <c r="C170" s="65"/>
    </row>
    <row r="171" spans="3:3" x14ac:dyDescent="0.2">
      <c r="C171" s="65"/>
    </row>
    <row r="172" spans="3:3" x14ac:dyDescent="0.2">
      <c r="C172" s="65"/>
    </row>
    <row r="173" spans="3:3" x14ac:dyDescent="0.2">
      <c r="C173" s="65"/>
    </row>
    <row r="174" spans="3:3" x14ac:dyDescent="0.2">
      <c r="C174" s="65"/>
    </row>
    <row r="175" spans="3:3" x14ac:dyDescent="0.2">
      <c r="C175" s="65"/>
    </row>
    <row r="176" spans="3:3" x14ac:dyDescent="0.2">
      <c r="C176" s="65"/>
    </row>
    <row r="177" spans="3:3" x14ac:dyDescent="0.2">
      <c r="C177" s="65"/>
    </row>
    <row r="178" spans="3:3" x14ac:dyDescent="0.2">
      <c r="C178" s="65"/>
    </row>
    <row r="179" spans="3:3" x14ac:dyDescent="0.2">
      <c r="C179" s="65"/>
    </row>
    <row r="180" spans="3:3" x14ac:dyDescent="0.2">
      <c r="C180" s="65"/>
    </row>
    <row r="181" spans="3:3" x14ac:dyDescent="0.2">
      <c r="C181" s="65"/>
    </row>
    <row r="182" spans="3:3" x14ac:dyDescent="0.2">
      <c r="C182" s="65"/>
    </row>
    <row r="183" spans="3:3" x14ac:dyDescent="0.2">
      <c r="C183" s="65"/>
    </row>
    <row r="184" spans="3:3" x14ac:dyDescent="0.2">
      <c r="C184" s="65"/>
    </row>
    <row r="185" spans="3:3" x14ac:dyDescent="0.2">
      <c r="C185" s="65"/>
    </row>
    <row r="186" spans="3:3" x14ac:dyDescent="0.2">
      <c r="C186" s="65"/>
    </row>
    <row r="187" spans="3:3" x14ac:dyDescent="0.2">
      <c r="C187" s="65"/>
    </row>
    <row r="188" spans="3:3" x14ac:dyDescent="0.2">
      <c r="C188" s="65"/>
    </row>
    <row r="189" spans="3:3" x14ac:dyDescent="0.2">
      <c r="C189" s="65"/>
    </row>
    <row r="190" spans="3:3" x14ac:dyDescent="0.2">
      <c r="C190" s="65"/>
    </row>
    <row r="191" spans="3:3" x14ac:dyDescent="0.2">
      <c r="C191" s="65"/>
    </row>
    <row r="192" spans="3:3" x14ac:dyDescent="0.2">
      <c r="C192" s="65"/>
    </row>
    <row r="193" spans="3:3" x14ac:dyDescent="0.2">
      <c r="C193" s="65"/>
    </row>
    <row r="194" spans="3:3" x14ac:dyDescent="0.2">
      <c r="C194" s="65"/>
    </row>
    <row r="195" spans="3:3" x14ac:dyDescent="0.2">
      <c r="C195" s="65"/>
    </row>
    <row r="196" spans="3:3" x14ac:dyDescent="0.2">
      <c r="C196" s="65"/>
    </row>
    <row r="197" spans="3:3" x14ac:dyDescent="0.2">
      <c r="C197" s="65"/>
    </row>
    <row r="198" spans="3:3" x14ac:dyDescent="0.2">
      <c r="C198" s="65"/>
    </row>
    <row r="199" spans="3:3" x14ac:dyDescent="0.2">
      <c r="C199" s="65"/>
    </row>
    <row r="200" spans="3:3" x14ac:dyDescent="0.2">
      <c r="C200" s="65"/>
    </row>
    <row r="201" spans="3:3" x14ac:dyDescent="0.2">
      <c r="C201" s="65"/>
    </row>
    <row r="202" spans="3:3" x14ac:dyDescent="0.2">
      <c r="C202" s="65"/>
    </row>
    <row r="203" spans="3:3" x14ac:dyDescent="0.2">
      <c r="C203" s="65"/>
    </row>
    <row r="204" spans="3:3" x14ac:dyDescent="0.2">
      <c r="C204" s="65"/>
    </row>
    <row r="205" spans="3:3" x14ac:dyDescent="0.2">
      <c r="C205" s="65"/>
    </row>
    <row r="206" spans="3:3" x14ac:dyDescent="0.2">
      <c r="C206" s="65"/>
    </row>
    <row r="207" spans="3:3" x14ac:dyDescent="0.2">
      <c r="C207" s="65"/>
    </row>
    <row r="208" spans="3:3" x14ac:dyDescent="0.2">
      <c r="C208" s="65"/>
    </row>
    <row r="209" spans="3:3" x14ac:dyDescent="0.2">
      <c r="C209" s="65"/>
    </row>
    <row r="210" spans="3:3" x14ac:dyDescent="0.2">
      <c r="C210" s="65"/>
    </row>
    <row r="211" spans="3:3" x14ac:dyDescent="0.2">
      <c r="C211" s="65"/>
    </row>
    <row r="212" spans="3:3" x14ac:dyDescent="0.2">
      <c r="C212" s="65"/>
    </row>
    <row r="213" spans="3:3" x14ac:dyDescent="0.2">
      <c r="C213" s="65"/>
    </row>
    <row r="214" spans="3:3" x14ac:dyDescent="0.2">
      <c r="C214" s="65"/>
    </row>
    <row r="215" spans="3:3" x14ac:dyDescent="0.2">
      <c r="C215" s="65"/>
    </row>
    <row r="216" spans="3:3" x14ac:dyDescent="0.2">
      <c r="C216" s="65"/>
    </row>
    <row r="217" spans="3:3" x14ac:dyDescent="0.2">
      <c r="C217" s="65"/>
    </row>
    <row r="218" spans="3:3" x14ac:dyDescent="0.2">
      <c r="C218" s="65"/>
    </row>
    <row r="219" spans="3:3" x14ac:dyDescent="0.2">
      <c r="C219" s="65"/>
    </row>
    <row r="220" spans="3:3" x14ac:dyDescent="0.2">
      <c r="C220" s="65"/>
    </row>
    <row r="221" spans="3:3" x14ac:dyDescent="0.2">
      <c r="C221" s="65"/>
    </row>
    <row r="222" spans="3:3" x14ac:dyDescent="0.2">
      <c r="C222" s="65"/>
    </row>
    <row r="223" spans="3:3" x14ac:dyDescent="0.2">
      <c r="C223" s="65"/>
    </row>
    <row r="224" spans="3:3" x14ac:dyDescent="0.2">
      <c r="C224" s="65"/>
    </row>
    <row r="225" spans="3:3" x14ac:dyDescent="0.2">
      <c r="C225" s="65"/>
    </row>
    <row r="226" spans="3:3" x14ac:dyDescent="0.2">
      <c r="C226" s="65"/>
    </row>
    <row r="227" spans="3:3" x14ac:dyDescent="0.2">
      <c r="C227" s="65"/>
    </row>
    <row r="228" spans="3:3" x14ac:dyDescent="0.2">
      <c r="C228" s="65"/>
    </row>
    <row r="229" spans="3:3" x14ac:dyDescent="0.2">
      <c r="C229" s="65"/>
    </row>
    <row r="230" spans="3:3" x14ac:dyDescent="0.2">
      <c r="C230" s="65"/>
    </row>
    <row r="231" spans="3:3" x14ac:dyDescent="0.2">
      <c r="C231" s="65"/>
    </row>
    <row r="232" spans="3:3" x14ac:dyDescent="0.2">
      <c r="C232" s="65"/>
    </row>
    <row r="233" spans="3:3" x14ac:dyDescent="0.2">
      <c r="C233" s="65"/>
    </row>
    <row r="234" spans="3:3" x14ac:dyDescent="0.2">
      <c r="C234" s="65"/>
    </row>
    <row r="235" spans="3:3" x14ac:dyDescent="0.2">
      <c r="C235" s="65"/>
    </row>
    <row r="236" spans="3:3" x14ac:dyDescent="0.2">
      <c r="C236" s="65"/>
    </row>
    <row r="237" spans="3:3" x14ac:dyDescent="0.2">
      <c r="C237" s="65"/>
    </row>
    <row r="238" spans="3:3" x14ac:dyDescent="0.2">
      <c r="C238" s="65"/>
    </row>
    <row r="239" spans="3:3" x14ac:dyDescent="0.2">
      <c r="C239" s="65"/>
    </row>
    <row r="240" spans="3:3" x14ac:dyDescent="0.2">
      <c r="C240" s="65"/>
    </row>
    <row r="241" spans="3:3" x14ac:dyDescent="0.2">
      <c r="C241" s="65"/>
    </row>
    <row r="242" spans="3:3" x14ac:dyDescent="0.2">
      <c r="C242" s="65"/>
    </row>
    <row r="243" spans="3:3" x14ac:dyDescent="0.2">
      <c r="C243" s="65"/>
    </row>
    <row r="244" spans="3:3" x14ac:dyDescent="0.2">
      <c r="C244" s="65"/>
    </row>
    <row r="245" spans="3:3" x14ac:dyDescent="0.2">
      <c r="C245" s="65"/>
    </row>
    <row r="246" spans="3:3" x14ac:dyDescent="0.2">
      <c r="C246" s="65"/>
    </row>
    <row r="247" spans="3:3" x14ac:dyDescent="0.2">
      <c r="C247" s="65"/>
    </row>
    <row r="248" spans="3:3" x14ac:dyDescent="0.2">
      <c r="C248" s="65"/>
    </row>
    <row r="249" spans="3:3" x14ac:dyDescent="0.2">
      <c r="C249" s="65"/>
    </row>
    <row r="250" spans="3:3" x14ac:dyDescent="0.2">
      <c r="C250" s="65"/>
    </row>
    <row r="251" spans="3:3" x14ac:dyDescent="0.2">
      <c r="C251" s="65"/>
    </row>
    <row r="252" spans="3:3" x14ac:dyDescent="0.2">
      <c r="C252" s="65"/>
    </row>
    <row r="253" spans="3:3" x14ac:dyDescent="0.2">
      <c r="C253" s="65"/>
    </row>
    <row r="254" spans="3:3" x14ac:dyDescent="0.2">
      <c r="C254" s="65"/>
    </row>
    <row r="255" spans="3:3" x14ac:dyDescent="0.2">
      <c r="C255" s="65"/>
    </row>
    <row r="256" spans="3:3" x14ac:dyDescent="0.2">
      <c r="C256" s="65"/>
    </row>
    <row r="257" spans="3:3" x14ac:dyDescent="0.2">
      <c r="C257" s="65"/>
    </row>
    <row r="258" spans="3:3" x14ac:dyDescent="0.2">
      <c r="C258" s="65"/>
    </row>
    <row r="259" spans="3:3" x14ac:dyDescent="0.2">
      <c r="C259" s="65"/>
    </row>
    <row r="260" spans="3:3" x14ac:dyDescent="0.2">
      <c r="C260" s="65"/>
    </row>
    <row r="261" spans="3:3" x14ac:dyDescent="0.2">
      <c r="C261" s="65"/>
    </row>
    <row r="262" spans="3:3" x14ac:dyDescent="0.2">
      <c r="C262" s="65"/>
    </row>
    <row r="263" spans="3:3" x14ac:dyDescent="0.2">
      <c r="C263" s="65"/>
    </row>
    <row r="264" spans="3:3" x14ac:dyDescent="0.2">
      <c r="C264" s="65"/>
    </row>
    <row r="265" spans="3:3" x14ac:dyDescent="0.2">
      <c r="C265" s="65"/>
    </row>
    <row r="266" spans="3:3" x14ac:dyDescent="0.2">
      <c r="C266" s="65"/>
    </row>
    <row r="267" spans="3:3" x14ac:dyDescent="0.2">
      <c r="C267" s="65"/>
    </row>
    <row r="268" spans="3:3" x14ac:dyDescent="0.2">
      <c r="C268" s="65"/>
    </row>
    <row r="269" spans="3:3" x14ac:dyDescent="0.2">
      <c r="C269" s="65"/>
    </row>
    <row r="270" spans="3:3" x14ac:dyDescent="0.2">
      <c r="C270" s="65"/>
    </row>
    <row r="271" spans="3:3" x14ac:dyDescent="0.2">
      <c r="C271" s="65"/>
    </row>
    <row r="272" spans="3:3" x14ac:dyDescent="0.2">
      <c r="C272" s="65"/>
    </row>
    <row r="273" spans="3:3" x14ac:dyDescent="0.2">
      <c r="C273" s="65"/>
    </row>
    <row r="274" spans="3:3" x14ac:dyDescent="0.2">
      <c r="C274" s="65"/>
    </row>
    <row r="275" spans="3:3" x14ac:dyDescent="0.2">
      <c r="C275" s="65"/>
    </row>
    <row r="276" spans="3:3" x14ac:dyDescent="0.2">
      <c r="C276" s="65"/>
    </row>
    <row r="277" spans="3:3" x14ac:dyDescent="0.2">
      <c r="C277" s="65"/>
    </row>
    <row r="278" spans="3:3" x14ac:dyDescent="0.2">
      <c r="C278" s="65"/>
    </row>
    <row r="279" spans="3:3" x14ac:dyDescent="0.2">
      <c r="C279" s="65"/>
    </row>
    <row r="280" spans="3:3" x14ac:dyDescent="0.2">
      <c r="C280" s="65"/>
    </row>
    <row r="281" spans="3:3" x14ac:dyDescent="0.2">
      <c r="C281" s="65"/>
    </row>
    <row r="282" spans="3:3" x14ac:dyDescent="0.2">
      <c r="C282" s="65"/>
    </row>
    <row r="283" spans="3:3" x14ac:dyDescent="0.2">
      <c r="C283" s="65"/>
    </row>
    <row r="284" spans="3:3" x14ac:dyDescent="0.2">
      <c r="C284" s="65"/>
    </row>
    <row r="285" spans="3:3" x14ac:dyDescent="0.2">
      <c r="C285" s="65"/>
    </row>
    <row r="286" spans="3:3" x14ac:dyDescent="0.2">
      <c r="C286" s="65"/>
    </row>
    <row r="287" spans="3:3" x14ac:dyDescent="0.2">
      <c r="C287" s="65"/>
    </row>
    <row r="288" spans="3:3" x14ac:dyDescent="0.2">
      <c r="C288" s="65"/>
    </row>
    <row r="289" spans="3:3" x14ac:dyDescent="0.2">
      <c r="C289" s="65"/>
    </row>
    <row r="290" spans="3:3" x14ac:dyDescent="0.2">
      <c r="C290" s="65"/>
    </row>
    <row r="291" spans="3:3" x14ac:dyDescent="0.2">
      <c r="C291" s="65"/>
    </row>
    <row r="292" spans="3:3" x14ac:dyDescent="0.2">
      <c r="C292" s="65"/>
    </row>
    <row r="293" spans="3:3" x14ac:dyDescent="0.2">
      <c r="C293" s="65"/>
    </row>
    <row r="294" spans="3:3" x14ac:dyDescent="0.2">
      <c r="C294" s="65"/>
    </row>
    <row r="295" spans="3:3" x14ac:dyDescent="0.2">
      <c r="C295" s="65"/>
    </row>
    <row r="296" spans="3:3" x14ac:dyDescent="0.2">
      <c r="C296" s="65"/>
    </row>
    <row r="297" spans="3:3" x14ac:dyDescent="0.2">
      <c r="C297" s="65"/>
    </row>
    <row r="298" spans="3:3" x14ac:dyDescent="0.2">
      <c r="C298" s="65"/>
    </row>
    <row r="299" spans="3:3" x14ac:dyDescent="0.2">
      <c r="C299" s="65"/>
    </row>
    <row r="300" spans="3:3" x14ac:dyDescent="0.2">
      <c r="C300" s="65"/>
    </row>
    <row r="301" spans="3:3" x14ac:dyDescent="0.2">
      <c r="C301" s="65"/>
    </row>
    <row r="302" spans="3:3" x14ac:dyDescent="0.2">
      <c r="C302" s="65"/>
    </row>
    <row r="303" spans="3:3" x14ac:dyDescent="0.2">
      <c r="C303" s="65"/>
    </row>
  </sheetData>
  <autoFilter ref="A1:J213" xr:uid="{7D026D20-162C-4DFF-AEE6-37280CF7B244}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topLeftCell="A306" zoomScale="55" zoomScaleNormal="55" workbookViewId="0">
      <selection activeCell="T364" sqref="A1:XFD1048576"/>
    </sheetView>
  </sheetViews>
  <sheetFormatPr defaultRowHeight="12.75" x14ac:dyDescent="0.2"/>
  <cols>
    <col min="1" max="1" width="11" style="18" bestFit="1" customWidth="1"/>
    <col min="2" max="2" width="32.7109375" bestFit="1" customWidth="1"/>
    <col min="3" max="3" width="9.5703125" style="18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569</v>
      </c>
      <c r="E2" s="160">
        <v>43490</v>
      </c>
      <c r="F2" s="2"/>
      <c r="G2" s="3">
        <v>500</v>
      </c>
      <c r="H2" s="2" t="s">
        <v>29</v>
      </c>
      <c r="I2" s="2" t="s">
        <v>562</v>
      </c>
      <c r="J2" s="3">
        <v>6</v>
      </c>
      <c r="K2" s="2" t="s">
        <v>96</v>
      </c>
      <c r="L2" s="2" t="s">
        <v>97</v>
      </c>
      <c r="AB2" t="str">
        <f t="shared" ref="AB2:AB65" si="0">IF(E2&lt;&gt;"",IF(F2="",D2&amp;" ("&amp;TEXT(E2,"dd/mm/yyyy")&amp;" - present)",D2&amp;" ("&amp;TEXT(E2,"dd/mm/yyyy")&amp;" - "&amp;TEXT(F2,"dd/mm/yyyy")&amp;")"),"")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570</v>
      </c>
      <c r="E3" s="160">
        <v>41516</v>
      </c>
      <c r="F3" s="160">
        <v>43444</v>
      </c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t="shared" si="0"/>
        <v>Mr David Connor (30/08/2013 - 10/12/2018)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343</v>
      </c>
      <c r="E4" s="160">
        <v>41386</v>
      </c>
      <c r="F4" s="160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t="shared" si="0"/>
        <v>D Copperthwaite (22/04/2013 - 22/09/2013)</v>
      </c>
    </row>
    <row r="5" spans="1:29" x14ac:dyDescent="0.2">
      <c r="A5" s="3">
        <v>1</v>
      </c>
      <c r="B5" s="2" t="s">
        <v>53</v>
      </c>
      <c r="C5" s="3">
        <v>215</v>
      </c>
      <c r="D5" s="2" t="s">
        <v>332</v>
      </c>
      <c r="E5" s="160">
        <v>41030</v>
      </c>
      <c r="F5" s="160">
        <v>41365</v>
      </c>
      <c r="G5" s="3">
        <v>500</v>
      </c>
      <c r="H5" s="2" t="s">
        <v>29</v>
      </c>
      <c r="I5" s="2" t="s">
        <v>95</v>
      </c>
      <c r="J5" s="3">
        <v>10</v>
      </c>
      <c r="K5" s="2" t="s">
        <v>96</v>
      </c>
      <c r="L5" s="2" t="s">
        <v>97</v>
      </c>
      <c r="AB5" t="str">
        <f t="shared" si="0"/>
        <v>W Lamour (01/05/2012 - 01/04/2013)</v>
      </c>
    </row>
    <row r="6" spans="1:29" x14ac:dyDescent="0.2">
      <c r="A6" s="3">
        <v>1</v>
      </c>
      <c r="B6" s="2" t="s">
        <v>53</v>
      </c>
      <c r="C6" s="3">
        <v>191</v>
      </c>
      <c r="D6" s="2" t="s">
        <v>310</v>
      </c>
      <c r="E6" s="160">
        <v>40487</v>
      </c>
      <c r="F6" s="160">
        <v>40638</v>
      </c>
      <c r="G6" s="3">
        <v>500</v>
      </c>
      <c r="H6" s="2" t="s">
        <v>29</v>
      </c>
      <c r="I6" s="2" t="s">
        <v>95</v>
      </c>
      <c r="J6" s="3">
        <v>10</v>
      </c>
      <c r="K6" s="2" t="s">
        <v>96</v>
      </c>
      <c r="L6" s="2" t="s">
        <v>97</v>
      </c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 t="str">
        <f t="shared" si="0"/>
        <v>A Stallard (05/11/2010 - 05/04/2011)</v>
      </c>
      <c r="AC6" s="51"/>
    </row>
    <row r="7" spans="1:29" x14ac:dyDescent="0.2">
      <c r="A7" s="3">
        <v>1</v>
      </c>
      <c r="B7" s="2" t="s">
        <v>53</v>
      </c>
      <c r="C7" s="3">
        <v>92</v>
      </c>
      <c r="D7" s="2" t="s">
        <v>37</v>
      </c>
      <c r="E7" s="160">
        <v>39104</v>
      </c>
      <c r="F7" s="160">
        <v>40482</v>
      </c>
      <c r="G7" s="3">
        <v>495</v>
      </c>
      <c r="H7" s="2" t="s">
        <v>29</v>
      </c>
      <c r="I7" s="2" t="s">
        <v>95</v>
      </c>
      <c r="J7" s="3">
        <v>10</v>
      </c>
      <c r="K7" s="2" t="s">
        <v>96</v>
      </c>
      <c r="L7" s="2" t="s">
        <v>97</v>
      </c>
      <c r="AB7" t="str">
        <f t="shared" si="0"/>
        <v>Keirle (22/01/2007 - 31/10/2010)</v>
      </c>
    </row>
    <row r="8" spans="1:29" x14ac:dyDescent="0.2">
      <c r="A8" s="3">
        <v>1</v>
      </c>
      <c r="B8" s="2" t="s">
        <v>53</v>
      </c>
      <c r="C8" s="3">
        <v>20</v>
      </c>
      <c r="D8" s="2" t="s">
        <v>40</v>
      </c>
      <c r="E8" s="160">
        <v>38345</v>
      </c>
      <c r="F8" s="160">
        <v>39075</v>
      </c>
      <c r="G8" s="3">
        <v>392.32</v>
      </c>
      <c r="H8" s="2" t="s">
        <v>28</v>
      </c>
      <c r="I8" s="2" t="s">
        <v>95</v>
      </c>
      <c r="J8" s="3">
        <v>10</v>
      </c>
      <c r="K8" s="2" t="s">
        <v>96</v>
      </c>
      <c r="L8" s="2" t="s">
        <v>97</v>
      </c>
      <c r="AB8" t="str">
        <f t="shared" si="0"/>
        <v>Martin (24/12/2004 - 24/12/2006)</v>
      </c>
    </row>
    <row r="9" spans="1:29" x14ac:dyDescent="0.2">
      <c r="A9" s="3">
        <v>1</v>
      </c>
      <c r="B9" s="2" t="s">
        <v>53</v>
      </c>
      <c r="C9" s="3">
        <v>2</v>
      </c>
      <c r="D9" s="2" t="s">
        <v>41</v>
      </c>
      <c r="E9" s="160">
        <v>38019</v>
      </c>
      <c r="F9" s="160">
        <v>38303</v>
      </c>
      <c r="G9" s="3">
        <v>400</v>
      </c>
      <c r="H9" s="2" t="s">
        <v>29</v>
      </c>
      <c r="I9" s="2" t="s">
        <v>95</v>
      </c>
      <c r="J9" s="3">
        <v>10</v>
      </c>
      <c r="K9" s="2" t="s">
        <v>96</v>
      </c>
      <c r="L9" s="2" t="s">
        <v>97</v>
      </c>
      <c r="AB9" t="str">
        <f t="shared" si="0"/>
        <v>Blake (02/02/2004 - 12/11/2004)</v>
      </c>
    </row>
    <row r="10" spans="1:29" x14ac:dyDescent="0.2">
      <c r="A10" s="3">
        <v>1</v>
      </c>
      <c r="B10" s="2" t="s">
        <v>53</v>
      </c>
      <c r="C10" s="3">
        <v>1</v>
      </c>
      <c r="D10" s="2" t="s">
        <v>42</v>
      </c>
      <c r="E10" s="160">
        <v>37683</v>
      </c>
      <c r="F10" s="160">
        <v>38001</v>
      </c>
      <c r="G10" s="3">
        <v>400</v>
      </c>
      <c r="H10" s="2" t="s">
        <v>29</v>
      </c>
      <c r="I10" s="2" t="s">
        <v>95</v>
      </c>
      <c r="J10" s="3">
        <v>10</v>
      </c>
      <c r="K10" s="2" t="s">
        <v>96</v>
      </c>
      <c r="L10" s="2" t="s">
        <v>97</v>
      </c>
      <c r="AB10" t="str">
        <f t="shared" si="0"/>
        <v>Laver (03/03/2003 - 15/01/2004)</v>
      </c>
    </row>
    <row r="11" spans="1:29" x14ac:dyDescent="0.2">
      <c r="A11" s="3">
        <v>14</v>
      </c>
      <c r="B11" s="2" t="s">
        <v>54</v>
      </c>
      <c r="C11" s="3">
        <v>808</v>
      </c>
      <c r="D11" s="2" t="s">
        <v>571</v>
      </c>
      <c r="E11" s="160">
        <v>43848</v>
      </c>
      <c r="F11" s="2"/>
      <c r="G11" s="3">
        <v>550</v>
      </c>
      <c r="H11" s="2" t="s">
        <v>29</v>
      </c>
      <c r="I11" s="2" t="s">
        <v>130</v>
      </c>
      <c r="J11" s="3">
        <v>0</v>
      </c>
      <c r="K11" s="2" t="s">
        <v>175</v>
      </c>
      <c r="L11" s="2" t="s">
        <v>101</v>
      </c>
      <c r="AB11" t="str">
        <f t="shared" si="0"/>
        <v>Cipran Georgescu (18/01/2020 - present)</v>
      </c>
    </row>
    <row r="12" spans="1:29" x14ac:dyDescent="0.2">
      <c r="A12" s="3">
        <v>14</v>
      </c>
      <c r="B12" s="2" t="s">
        <v>54</v>
      </c>
      <c r="C12" s="3">
        <v>743</v>
      </c>
      <c r="D12" s="2" t="s">
        <v>569</v>
      </c>
      <c r="E12" s="160">
        <v>42666</v>
      </c>
      <c r="F12" s="160">
        <v>43489</v>
      </c>
      <c r="G12" s="3">
        <v>0</v>
      </c>
      <c r="H12" s="2" t="s">
        <v>29</v>
      </c>
      <c r="I12" s="2" t="s">
        <v>562</v>
      </c>
      <c r="J12" s="3">
        <v>6</v>
      </c>
      <c r="K12" s="2" t="s">
        <v>96</v>
      </c>
      <c r="L12" s="2" t="s">
        <v>97</v>
      </c>
      <c r="AB12" t="str">
        <f t="shared" si="0"/>
        <v>Sharon Briscoe (23/10/2016 - 24/01/2019)</v>
      </c>
    </row>
    <row r="13" spans="1:29" x14ac:dyDescent="0.2">
      <c r="A13" s="3">
        <v>14</v>
      </c>
      <c r="B13" s="2" t="s">
        <v>54</v>
      </c>
      <c r="C13" s="3">
        <v>192</v>
      </c>
      <c r="D13" s="2" t="s">
        <v>311</v>
      </c>
      <c r="E13" s="160">
        <v>40485</v>
      </c>
      <c r="F13" s="160">
        <v>42697</v>
      </c>
      <c r="G13" s="3">
        <v>500</v>
      </c>
      <c r="H13" s="2" t="s">
        <v>29</v>
      </c>
      <c r="I13" s="2" t="s">
        <v>95</v>
      </c>
      <c r="J13" s="3">
        <v>10</v>
      </c>
      <c r="K13" s="2" t="s">
        <v>96</v>
      </c>
      <c r="L13" s="2" t="s">
        <v>97</v>
      </c>
      <c r="AB13" t="str">
        <f t="shared" si="0"/>
        <v>N Wright (03/11/2010 - 23/11/2016)</v>
      </c>
    </row>
    <row r="14" spans="1:29" x14ac:dyDescent="0.2">
      <c r="A14" s="3">
        <v>14</v>
      </c>
      <c r="B14" s="2" t="s">
        <v>54</v>
      </c>
      <c r="C14" s="3">
        <v>190</v>
      </c>
      <c r="D14" s="2" t="s">
        <v>299</v>
      </c>
      <c r="E14" s="160">
        <v>40452</v>
      </c>
      <c r="F14" s="160">
        <v>40482</v>
      </c>
      <c r="G14" s="3">
        <v>500</v>
      </c>
      <c r="H14" s="2" t="s">
        <v>29</v>
      </c>
      <c r="I14" s="2" t="s">
        <v>95</v>
      </c>
      <c r="J14" s="3">
        <v>10</v>
      </c>
      <c r="K14" s="2" t="s">
        <v>96</v>
      </c>
      <c r="L14" s="2" t="s">
        <v>97</v>
      </c>
      <c r="AB14" t="str">
        <f t="shared" si="0"/>
        <v>TBD (01/10/2010 - 31/10/2010)</v>
      </c>
    </row>
    <row r="15" spans="1:29" x14ac:dyDescent="0.2">
      <c r="A15" s="3">
        <v>14</v>
      </c>
      <c r="B15" s="2" t="s">
        <v>54</v>
      </c>
      <c r="C15" s="3">
        <v>27</v>
      </c>
      <c r="D15" s="2" t="s">
        <v>38</v>
      </c>
      <c r="E15" s="160">
        <v>38561</v>
      </c>
      <c r="F15" s="160">
        <v>40349</v>
      </c>
      <c r="G15" s="3">
        <v>424.62</v>
      </c>
      <c r="H15" s="2" t="s">
        <v>28</v>
      </c>
      <c r="I15" s="2" t="s">
        <v>95</v>
      </c>
      <c r="J15" s="3">
        <v>10</v>
      </c>
      <c r="K15" s="2" t="s">
        <v>96</v>
      </c>
      <c r="L15" s="2" t="s">
        <v>97</v>
      </c>
      <c r="AB15" t="str">
        <f t="shared" si="0"/>
        <v>Lynch (28/07/2005 - 20/06/2010)</v>
      </c>
    </row>
    <row r="16" spans="1:29" x14ac:dyDescent="0.2">
      <c r="A16" s="3">
        <v>14</v>
      </c>
      <c r="B16" s="2" t="s">
        <v>54</v>
      </c>
      <c r="C16" s="3">
        <v>22</v>
      </c>
      <c r="D16" s="2" t="s">
        <v>43</v>
      </c>
      <c r="E16" s="160">
        <v>38310</v>
      </c>
      <c r="F16" s="160">
        <v>38536</v>
      </c>
      <c r="G16" s="3">
        <v>380</v>
      </c>
      <c r="H16" s="2" t="s">
        <v>29</v>
      </c>
      <c r="I16" s="2" t="s">
        <v>95</v>
      </c>
      <c r="J16" s="3">
        <v>10</v>
      </c>
      <c r="K16" s="2" t="s">
        <v>96</v>
      </c>
      <c r="L16" s="2" t="s">
        <v>97</v>
      </c>
      <c r="AB16" t="str">
        <f t="shared" si="0"/>
        <v>Hatfield (19/11/2004 - 03/07/2005)</v>
      </c>
    </row>
    <row r="17" spans="1:29" x14ac:dyDescent="0.2">
      <c r="A17" s="3">
        <v>3</v>
      </c>
      <c r="B17" s="2" t="s">
        <v>55</v>
      </c>
      <c r="C17" s="3">
        <v>840</v>
      </c>
      <c r="D17" s="2" t="s">
        <v>767</v>
      </c>
      <c r="E17" s="160">
        <v>44286</v>
      </c>
      <c r="F17" s="2"/>
      <c r="G17" s="3">
        <v>526</v>
      </c>
      <c r="H17" s="2" t="s">
        <v>29</v>
      </c>
      <c r="I17" s="2" t="s">
        <v>130</v>
      </c>
      <c r="J17" s="3">
        <v>0</v>
      </c>
      <c r="K17" s="2" t="s">
        <v>175</v>
      </c>
      <c r="L17" s="2" t="s">
        <v>101</v>
      </c>
      <c r="AA17" s="2"/>
      <c r="AB17" t="str">
        <f t="shared" si="0"/>
        <v>Adebusola Ibiyemi (31/03/2021 - present)</v>
      </c>
    </row>
    <row r="18" spans="1:29" x14ac:dyDescent="0.2">
      <c r="A18" s="3">
        <v>3</v>
      </c>
      <c r="B18" s="2" t="s">
        <v>55</v>
      </c>
      <c r="C18" s="3">
        <v>832</v>
      </c>
      <c r="D18" s="2" t="s">
        <v>768</v>
      </c>
      <c r="E18" s="160">
        <v>44085</v>
      </c>
      <c r="F18" s="160">
        <v>43900</v>
      </c>
      <c r="G18" s="3">
        <v>4500</v>
      </c>
      <c r="H18" s="2" t="s">
        <v>29</v>
      </c>
      <c r="I18" s="2" t="s">
        <v>130</v>
      </c>
      <c r="J18" s="3">
        <v>0</v>
      </c>
      <c r="K18" s="2" t="s">
        <v>175</v>
      </c>
      <c r="L18" s="2" t="s">
        <v>101</v>
      </c>
      <c r="AB18" t="str">
        <f t="shared" si="0"/>
        <v>Chris Clark (11/09/2020 - 10/03/2020)</v>
      </c>
    </row>
    <row r="19" spans="1:29" x14ac:dyDescent="0.2">
      <c r="A19" s="3">
        <v>3</v>
      </c>
      <c r="B19" s="2" t="s">
        <v>55</v>
      </c>
      <c r="C19" s="3">
        <v>772</v>
      </c>
      <c r="D19" s="2" t="s">
        <v>572</v>
      </c>
      <c r="E19" s="160">
        <v>43358</v>
      </c>
      <c r="F19" s="160">
        <v>44026</v>
      </c>
      <c r="G19" s="3">
        <v>0</v>
      </c>
      <c r="H19" s="2" t="s">
        <v>29</v>
      </c>
      <c r="I19" s="2" t="s">
        <v>562</v>
      </c>
      <c r="J19" s="3">
        <v>6</v>
      </c>
      <c r="K19" s="2" t="s">
        <v>96</v>
      </c>
      <c r="L19" s="2" t="s">
        <v>97</v>
      </c>
      <c r="AB19" t="str">
        <f t="shared" si="0"/>
        <v>Nathalie Rockmer (15/09/2018 - 14/07/2020)</v>
      </c>
    </row>
    <row r="20" spans="1:29" x14ac:dyDescent="0.2">
      <c r="A20" s="3">
        <v>3</v>
      </c>
      <c r="B20" s="2" t="s">
        <v>55</v>
      </c>
      <c r="C20" s="3">
        <v>269</v>
      </c>
      <c r="D20" s="2" t="s">
        <v>384</v>
      </c>
      <c r="E20" s="160">
        <v>42493</v>
      </c>
      <c r="F20" s="2"/>
      <c r="G20" s="3">
        <v>600</v>
      </c>
      <c r="H20" s="2" t="s">
        <v>29</v>
      </c>
      <c r="I20" s="2" t="s">
        <v>95</v>
      </c>
      <c r="J20" s="3">
        <v>10</v>
      </c>
      <c r="K20" s="2" t="s">
        <v>96</v>
      </c>
      <c r="L20" s="2" t="s">
        <v>97</v>
      </c>
      <c r="AB20" t="str">
        <f t="shared" si="0"/>
        <v>Mr J Brown (03/05/2016 - present)</v>
      </c>
    </row>
    <row r="21" spans="1:29" x14ac:dyDescent="0.2">
      <c r="A21" s="3">
        <v>3</v>
      </c>
      <c r="B21" s="2" t="s">
        <v>55</v>
      </c>
      <c r="C21" s="3">
        <v>242</v>
      </c>
      <c r="D21" s="2" t="s">
        <v>356</v>
      </c>
      <c r="E21" s="160">
        <v>41655</v>
      </c>
      <c r="F21" s="160">
        <v>42465</v>
      </c>
      <c r="G21" s="3">
        <v>550</v>
      </c>
      <c r="H21" s="2" t="s">
        <v>29</v>
      </c>
      <c r="I21" s="2" t="s">
        <v>95</v>
      </c>
      <c r="J21" s="3">
        <v>10</v>
      </c>
      <c r="K21" s="2" t="s">
        <v>96</v>
      </c>
      <c r="L21" s="2" t="s">
        <v>97</v>
      </c>
      <c r="AB21" t="str">
        <f t="shared" si="0"/>
        <v>Mr Barnett &amp; Ms Elvenny (16/01/2014 - 05/04/2016)</v>
      </c>
    </row>
    <row r="22" spans="1:29" x14ac:dyDescent="0.2">
      <c r="A22" s="3">
        <v>3</v>
      </c>
      <c r="B22" s="2" t="s">
        <v>55</v>
      </c>
      <c r="C22" s="3">
        <v>207</v>
      </c>
      <c r="D22" s="2" t="s">
        <v>325</v>
      </c>
      <c r="E22" s="160">
        <v>40839</v>
      </c>
      <c r="F22" s="160">
        <v>41578</v>
      </c>
      <c r="G22" s="3">
        <v>550</v>
      </c>
      <c r="H22" s="2" t="s">
        <v>29</v>
      </c>
      <c r="I22" s="2" t="s">
        <v>95</v>
      </c>
      <c r="J22" s="3">
        <v>10</v>
      </c>
      <c r="K22" s="2" t="s">
        <v>96</v>
      </c>
      <c r="L22" s="2" t="s">
        <v>97</v>
      </c>
      <c r="AA22" s="2"/>
      <c r="AB22" t="str">
        <f t="shared" si="0"/>
        <v>S Briscoe (23/10/2011 - 31/10/2013)</v>
      </c>
    </row>
    <row r="23" spans="1:29" x14ac:dyDescent="0.2">
      <c r="A23" s="3">
        <v>3</v>
      </c>
      <c r="B23" s="2" t="s">
        <v>55</v>
      </c>
      <c r="C23" s="3">
        <v>188</v>
      </c>
      <c r="D23" s="2" t="s">
        <v>300</v>
      </c>
      <c r="E23" s="160">
        <v>40448</v>
      </c>
      <c r="F23" s="160">
        <v>40838</v>
      </c>
      <c r="G23" s="3">
        <v>550</v>
      </c>
      <c r="H23" s="2" t="s">
        <v>29</v>
      </c>
      <c r="I23" s="2" t="s">
        <v>95</v>
      </c>
      <c r="J23" s="3">
        <v>10</v>
      </c>
      <c r="K23" s="2" t="s">
        <v>96</v>
      </c>
      <c r="L23" s="2" t="s">
        <v>97</v>
      </c>
      <c r="AB23" t="str">
        <f t="shared" si="0"/>
        <v>Newing &amp; Thompson (27/09/2010 - 22/10/2011)</v>
      </c>
    </row>
    <row r="24" spans="1:29" x14ac:dyDescent="0.2">
      <c r="A24" s="3">
        <v>3</v>
      </c>
      <c r="B24" s="2" t="s">
        <v>55</v>
      </c>
      <c r="C24" s="3">
        <v>160</v>
      </c>
      <c r="D24" s="2" t="s">
        <v>278</v>
      </c>
      <c r="E24" s="160">
        <v>40120</v>
      </c>
      <c r="F24" s="160">
        <v>40300</v>
      </c>
      <c r="G24" s="3">
        <v>620</v>
      </c>
      <c r="H24" s="2" t="s">
        <v>29</v>
      </c>
      <c r="I24" s="2" t="s">
        <v>95</v>
      </c>
      <c r="J24" s="3">
        <v>10</v>
      </c>
      <c r="K24" s="2" t="s">
        <v>96</v>
      </c>
      <c r="L24" s="2" t="s">
        <v>97</v>
      </c>
      <c r="AB24" t="str">
        <f t="shared" si="0"/>
        <v>Kevin &amp; Charyn Carter (03/11/2009 - 02/05/2010)</v>
      </c>
    </row>
    <row r="25" spans="1:29" x14ac:dyDescent="0.2">
      <c r="A25" s="3">
        <v>3</v>
      </c>
      <c r="B25" s="2" t="s">
        <v>55</v>
      </c>
      <c r="C25" s="3">
        <v>152</v>
      </c>
      <c r="D25" s="2" t="s">
        <v>268</v>
      </c>
      <c r="E25" s="160">
        <v>39879</v>
      </c>
      <c r="F25" s="160">
        <v>40086</v>
      </c>
      <c r="G25" s="3">
        <v>625</v>
      </c>
      <c r="H25" s="2" t="s">
        <v>29</v>
      </c>
      <c r="I25" s="2" t="s">
        <v>95</v>
      </c>
      <c r="J25" s="3">
        <v>10</v>
      </c>
      <c r="K25" s="2" t="s">
        <v>96</v>
      </c>
      <c r="L25" s="2" t="s">
        <v>97</v>
      </c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 t="str">
        <f t="shared" si="0"/>
        <v>Saunders &amp; Lavery (07/03/2009 - 30/09/2009)</v>
      </c>
      <c r="AC25" s="51"/>
    </row>
    <row r="26" spans="1:29" x14ac:dyDescent="0.2">
      <c r="A26" s="3">
        <v>3</v>
      </c>
      <c r="B26" s="2" t="s">
        <v>55</v>
      </c>
      <c r="C26" s="3">
        <v>130</v>
      </c>
      <c r="D26" s="2" t="s">
        <v>236</v>
      </c>
      <c r="E26" s="160">
        <v>39535</v>
      </c>
      <c r="F26" s="160">
        <v>39849</v>
      </c>
      <c r="G26" s="3">
        <v>625</v>
      </c>
      <c r="H26" s="2" t="s">
        <v>29</v>
      </c>
      <c r="I26" s="2" t="s">
        <v>95</v>
      </c>
      <c r="J26" s="3">
        <v>10</v>
      </c>
      <c r="K26" s="2" t="s">
        <v>96</v>
      </c>
      <c r="L26" s="2" t="s">
        <v>97</v>
      </c>
      <c r="AA26" s="2"/>
      <c r="AB26" t="str">
        <f t="shared" si="0"/>
        <v>Williams &amp; Green (28/03/2008 - 05/02/2009)</v>
      </c>
    </row>
    <row r="27" spans="1:29" x14ac:dyDescent="0.2">
      <c r="A27" s="3">
        <v>3</v>
      </c>
      <c r="B27" s="2" t="s">
        <v>55</v>
      </c>
      <c r="C27" s="3">
        <v>93</v>
      </c>
      <c r="D27" s="2" t="s">
        <v>151</v>
      </c>
      <c r="E27" s="160">
        <v>39013</v>
      </c>
      <c r="F27" s="160">
        <v>39507</v>
      </c>
      <c r="G27" s="3">
        <v>575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 t="str">
        <f t="shared" si="0"/>
        <v>Thompson (23/10/2006 - 29/02/2008)</v>
      </c>
      <c r="AC27" s="51"/>
    </row>
    <row r="28" spans="1:29" x14ac:dyDescent="0.2">
      <c r="A28" s="3">
        <v>3</v>
      </c>
      <c r="B28" s="2" t="s">
        <v>55</v>
      </c>
      <c r="C28" s="3">
        <v>56</v>
      </c>
      <c r="D28" s="2" t="s">
        <v>152</v>
      </c>
      <c r="E28" s="160">
        <v>38961</v>
      </c>
      <c r="F28" s="160">
        <v>39052</v>
      </c>
      <c r="G28" s="3">
        <v>625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t="shared" si="0"/>
        <v>Bowie  (01/09/2006 - 01/12/2006)</v>
      </c>
    </row>
    <row r="29" spans="1:29" x14ac:dyDescent="0.2">
      <c r="A29" s="3">
        <v>3</v>
      </c>
      <c r="B29" s="2" t="s">
        <v>55</v>
      </c>
      <c r="C29" s="3">
        <v>15</v>
      </c>
      <c r="D29" s="2" t="s">
        <v>153</v>
      </c>
      <c r="E29" s="160">
        <v>38229</v>
      </c>
      <c r="F29" s="160">
        <v>38929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t="shared" si="0"/>
        <v>Fleming (30/08/2004 - 31/07/2006)</v>
      </c>
    </row>
    <row r="30" spans="1:29" x14ac:dyDescent="0.2">
      <c r="A30" s="3">
        <v>3</v>
      </c>
      <c r="B30" s="2" t="s">
        <v>55</v>
      </c>
      <c r="C30" s="3">
        <v>10</v>
      </c>
      <c r="D30" s="2" t="s">
        <v>42</v>
      </c>
      <c r="E30" s="160">
        <v>38002</v>
      </c>
      <c r="F30" s="160">
        <v>38152</v>
      </c>
      <c r="G30" s="3">
        <v>525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t="shared" si="0"/>
        <v>Laver (16/01/2004 - 14/06/2004)</v>
      </c>
    </row>
    <row r="31" spans="1:29" x14ac:dyDescent="0.2">
      <c r="A31" s="3">
        <v>3</v>
      </c>
      <c r="B31" s="2" t="s">
        <v>55</v>
      </c>
      <c r="C31" s="3">
        <v>8</v>
      </c>
      <c r="D31" s="2" t="s">
        <v>154</v>
      </c>
      <c r="E31" s="160">
        <v>37802</v>
      </c>
      <c r="F31" s="160">
        <v>37968</v>
      </c>
      <c r="G31" s="3">
        <v>500</v>
      </c>
      <c r="H31" s="2" t="s">
        <v>29</v>
      </c>
      <c r="I31" s="2" t="s">
        <v>95</v>
      </c>
      <c r="J31" s="3">
        <v>10</v>
      </c>
      <c r="K31" s="2" t="s">
        <v>96</v>
      </c>
      <c r="L31" s="2" t="s">
        <v>97</v>
      </c>
      <c r="AB31" t="str">
        <f t="shared" si="0"/>
        <v>Mpofu (30/06/2003 - 13/12/2003)</v>
      </c>
    </row>
    <row r="32" spans="1:29" x14ac:dyDescent="0.2">
      <c r="A32" s="3">
        <v>3</v>
      </c>
      <c r="B32" s="2" t="s">
        <v>55</v>
      </c>
      <c r="C32" s="3">
        <v>7</v>
      </c>
      <c r="D32" s="2" t="s">
        <v>155</v>
      </c>
      <c r="E32" s="160">
        <v>37670</v>
      </c>
      <c r="F32" s="160">
        <v>38547</v>
      </c>
      <c r="G32" s="3">
        <v>505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t="shared" si="0"/>
        <v>Glace (18/02/2003 - 14/07/2005)</v>
      </c>
    </row>
    <row r="33" spans="1:29" s="51" customFormat="1" x14ac:dyDescent="0.2">
      <c r="A33" s="3">
        <v>4</v>
      </c>
      <c r="B33" s="2" t="s">
        <v>56</v>
      </c>
      <c r="C33" s="3">
        <v>193</v>
      </c>
      <c r="D33" s="2" t="s">
        <v>312</v>
      </c>
      <c r="E33" s="160">
        <v>40508</v>
      </c>
      <c r="F33" s="2"/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1" t="str">
        <f t="shared" si="0"/>
        <v>Carrington (26/11/2010 - present)</v>
      </c>
    </row>
    <row r="34" spans="1:29" s="51" customFormat="1" x14ac:dyDescent="0.2">
      <c r="A34" s="3">
        <v>4</v>
      </c>
      <c r="B34" s="2" t="s">
        <v>56</v>
      </c>
      <c r="C34" s="3">
        <v>120</v>
      </c>
      <c r="D34" s="2" t="s">
        <v>237</v>
      </c>
      <c r="E34" s="160">
        <v>39535</v>
      </c>
      <c r="F34" s="160">
        <v>40483</v>
      </c>
      <c r="G34" s="3">
        <v>500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t="shared" si="0"/>
        <v>Simpson-Stevens &amp; Scott (28/03/2008 - 01/11/2010)</v>
      </c>
      <c r="AC34"/>
    </row>
    <row r="35" spans="1:29" x14ac:dyDescent="0.2">
      <c r="A35" s="3">
        <v>4</v>
      </c>
      <c r="B35" s="2" t="s">
        <v>56</v>
      </c>
      <c r="C35" s="3">
        <v>101</v>
      </c>
      <c r="D35" s="2" t="s">
        <v>159</v>
      </c>
      <c r="E35" s="160">
        <v>39153</v>
      </c>
      <c r="F35" s="160">
        <v>39447</v>
      </c>
      <c r="G35" s="3">
        <v>490</v>
      </c>
      <c r="H35" s="2" t="s">
        <v>29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t="shared" si="0"/>
        <v>Jones (12/03/2007 - 31/12/2007)</v>
      </c>
    </row>
    <row r="36" spans="1:29" x14ac:dyDescent="0.2">
      <c r="A36" s="3">
        <v>4</v>
      </c>
      <c r="B36" s="2" t="s">
        <v>56</v>
      </c>
      <c r="C36" s="3">
        <v>55</v>
      </c>
      <c r="D36" s="2" t="s">
        <v>160</v>
      </c>
      <c r="E36" s="160">
        <v>38950</v>
      </c>
      <c r="F36" s="160">
        <v>39136</v>
      </c>
      <c r="G36" s="3">
        <v>447.68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t="shared" si="0"/>
        <v>Coalbran (21/08/2006 - 23/02/2007)</v>
      </c>
    </row>
    <row r="37" spans="1:29" x14ac:dyDescent="0.2">
      <c r="A37" s="3">
        <v>4</v>
      </c>
      <c r="B37" s="2" t="s">
        <v>56</v>
      </c>
      <c r="C37" s="3">
        <v>45</v>
      </c>
      <c r="D37" s="2" t="s">
        <v>161</v>
      </c>
      <c r="E37" s="160">
        <v>38705</v>
      </c>
      <c r="F37" s="160">
        <v>38929</v>
      </c>
      <c r="G37" s="3">
        <v>443.08</v>
      </c>
      <c r="H37" s="2" t="s">
        <v>28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t="shared" si="0"/>
        <v>Larkins/Allen (19/12/2005 - 31/07/2006)</v>
      </c>
    </row>
    <row r="38" spans="1:29" s="51" customFormat="1" x14ac:dyDescent="0.2">
      <c r="A38" s="3">
        <v>4</v>
      </c>
      <c r="B38" s="2" t="s">
        <v>56</v>
      </c>
      <c r="C38" s="3">
        <v>26</v>
      </c>
      <c r="D38" s="2" t="s">
        <v>162</v>
      </c>
      <c r="E38" s="160">
        <v>38389</v>
      </c>
      <c r="F38" s="160">
        <v>38698</v>
      </c>
      <c r="G38" s="3">
        <v>450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t="shared" si="0"/>
        <v>Emptage/Robson (06/02/2005 - 12/12/2005)</v>
      </c>
      <c r="AC38"/>
    </row>
    <row r="39" spans="1:29" x14ac:dyDescent="0.2">
      <c r="A39" s="3">
        <v>4</v>
      </c>
      <c r="B39" s="2" t="s">
        <v>56</v>
      </c>
      <c r="C39" s="3">
        <v>6</v>
      </c>
      <c r="D39" s="2" t="s">
        <v>10</v>
      </c>
      <c r="E39" s="160">
        <v>37958</v>
      </c>
      <c r="F39" s="160">
        <v>38547</v>
      </c>
      <c r="G39" s="3">
        <v>400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 t="str">
        <f t="shared" si="0"/>
        <v>Hall (03/12/2003 - 14/07/2005)</v>
      </c>
      <c r="AC39" s="51"/>
    </row>
    <row r="40" spans="1:29" x14ac:dyDescent="0.2">
      <c r="A40" s="3">
        <v>4</v>
      </c>
      <c r="B40" s="2" t="s">
        <v>56</v>
      </c>
      <c r="C40" s="3">
        <v>5</v>
      </c>
      <c r="D40" s="2" t="s">
        <v>163</v>
      </c>
      <c r="E40" s="160">
        <v>37778</v>
      </c>
      <c r="F40" s="160">
        <v>37900</v>
      </c>
      <c r="G40" s="3">
        <v>399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t="shared" si="0"/>
        <v>Dixon (06/06/2003 - 06/10/2003)</v>
      </c>
    </row>
    <row r="41" spans="1:29" x14ac:dyDescent="0.2">
      <c r="A41" s="3">
        <v>4</v>
      </c>
      <c r="B41" s="2" t="s">
        <v>56</v>
      </c>
      <c r="C41" s="3">
        <v>4</v>
      </c>
      <c r="D41" s="2" t="s">
        <v>164</v>
      </c>
      <c r="E41" s="160">
        <v>37603</v>
      </c>
      <c r="F41" s="160">
        <v>37754</v>
      </c>
      <c r="G41" s="3">
        <v>395</v>
      </c>
      <c r="H41" s="2" t="s">
        <v>29</v>
      </c>
      <c r="I41" s="2" t="s">
        <v>95</v>
      </c>
      <c r="J41" s="3">
        <v>10</v>
      </c>
      <c r="K41" s="2" t="s">
        <v>96</v>
      </c>
      <c r="L41" s="2" t="s">
        <v>97</v>
      </c>
      <c r="AB41" t="str">
        <f t="shared" si="0"/>
        <v>Raven (13/12/2002 - 13/05/2003)</v>
      </c>
    </row>
    <row r="42" spans="1:29" x14ac:dyDescent="0.2">
      <c r="A42" s="3">
        <v>5</v>
      </c>
      <c r="B42" s="2" t="s">
        <v>57</v>
      </c>
      <c r="C42" s="3">
        <v>744</v>
      </c>
      <c r="D42" s="2" t="s">
        <v>573</v>
      </c>
      <c r="E42" s="160">
        <v>42680</v>
      </c>
      <c r="F42" s="2"/>
      <c r="G42" s="3">
        <v>505</v>
      </c>
      <c r="H42" s="2" t="s">
        <v>29</v>
      </c>
      <c r="I42" s="2" t="s">
        <v>562</v>
      </c>
      <c r="J42" s="3">
        <v>6</v>
      </c>
      <c r="K42" s="2" t="s">
        <v>96</v>
      </c>
      <c r="L42" s="2" t="s">
        <v>97</v>
      </c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 t="str">
        <f t="shared" si="0"/>
        <v>Susan Parkinson (06/11/2016 - present)</v>
      </c>
      <c r="AC42" s="51"/>
    </row>
    <row r="43" spans="1:29" x14ac:dyDescent="0.2">
      <c r="A43" s="3">
        <v>5</v>
      </c>
      <c r="B43" s="2" t="s">
        <v>57</v>
      </c>
      <c r="C43" s="3">
        <v>247</v>
      </c>
      <c r="D43" s="2" t="s">
        <v>363</v>
      </c>
      <c r="E43" s="160">
        <v>41941</v>
      </c>
      <c r="F43" s="160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t="shared" si="0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334</v>
      </c>
      <c r="E44" s="160">
        <v>40896</v>
      </c>
      <c r="F44" s="160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t="shared" si="0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60">
        <v>40508</v>
      </c>
      <c r="F45" s="160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t="shared" si="0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60">
        <v>39711</v>
      </c>
      <c r="F46" s="160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t="shared" si="0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60">
        <v>38687</v>
      </c>
      <c r="F47" s="160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t="shared" si="0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60">
        <v>37830</v>
      </c>
      <c r="F48" s="160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t="shared" si="0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574</v>
      </c>
      <c r="E49" s="160">
        <v>43687</v>
      </c>
      <c r="F49" s="2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t="shared" si="0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371</v>
      </c>
      <c r="E50" s="160">
        <v>41740</v>
      </c>
      <c r="F50" s="160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t="shared" si="0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318</v>
      </c>
      <c r="E51" s="160">
        <v>40674</v>
      </c>
      <c r="F51" s="160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t="shared" si="0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60">
        <v>39349</v>
      </c>
      <c r="F52" s="160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t="shared" si="0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60">
        <v>38285</v>
      </c>
      <c r="F53" s="160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t="shared" si="0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60">
        <v>37829</v>
      </c>
      <c r="F54" s="160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t="shared" si="0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344</v>
      </c>
      <c r="E55" s="160">
        <v>41409</v>
      </c>
      <c r="F55" s="2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t="shared" si="0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60">
        <v>40235</v>
      </c>
      <c r="F56" s="160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t="shared" si="0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60">
        <v>37829</v>
      </c>
      <c r="F57" s="160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t="shared" si="0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326</v>
      </c>
      <c r="E58" s="160">
        <v>40914</v>
      </c>
      <c r="F58" s="2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t="shared" si="0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322</v>
      </c>
      <c r="E59" s="160">
        <v>40773</v>
      </c>
      <c r="F59" s="160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t="shared" si="0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60">
        <v>40326</v>
      </c>
      <c r="F60" s="160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t="shared" si="0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60">
        <v>39731</v>
      </c>
      <c r="F61" s="160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t="shared" si="0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60">
        <v>39248</v>
      </c>
      <c r="F62" s="160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t="shared" si="0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368</v>
      </c>
      <c r="E63" s="160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t="shared" si="0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364</v>
      </c>
      <c r="E64" s="160">
        <v>41901</v>
      </c>
      <c r="F64" s="160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t="shared" si="0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337</v>
      </c>
      <c r="E65" s="160">
        <v>41227</v>
      </c>
      <c r="F65" s="160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t="shared" si="0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60">
        <v>39248</v>
      </c>
      <c r="F66" s="160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t="shared" ref="AB66:AB130" si="1">IF(E66&lt;&gt;"",IF(F66="",D66&amp;" ("&amp;TEXT(E66,"dd/mm/yyyy")&amp;" - present)",D66&amp;" ("&amp;TEXT(E66,"dd/mm/yyyy")&amp;" - "&amp;TEXT(F66,"dd/mm/yyyy")&amp;")"),"")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843</v>
      </c>
      <c r="D67" s="2" t="s">
        <v>769</v>
      </c>
      <c r="E67" s="160">
        <v>44347</v>
      </c>
      <c r="F67" s="2"/>
      <c r="G67" s="3">
        <v>850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 t="str">
        <f t="shared" si="1"/>
        <v>Lachezar Nikolav and Miss Daniella Fulker (31/05/2021 - present)</v>
      </c>
      <c r="AC67" s="51"/>
    </row>
    <row r="68" spans="1:29" x14ac:dyDescent="0.2">
      <c r="A68" s="3">
        <v>75</v>
      </c>
      <c r="B68" s="2" t="s">
        <v>188</v>
      </c>
      <c r="C68" s="3">
        <v>842</v>
      </c>
      <c r="D68" s="2" t="s">
        <v>770</v>
      </c>
      <c r="E68" s="160">
        <v>44347</v>
      </c>
      <c r="F68" s="2"/>
      <c r="G68" s="3">
        <v>850</v>
      </c>
      <c r="H68" s="2" t="s">
        <v>29</v>
      </c>
      <c r="I68" s="2" t="s">
        <v>130</v>
      </c>
      <c r="J68" s="3">
        <v>0</v>
      </c>
      <c r="K68" s="2" t="s">
        <v>175</v>
      </c>
      <c r="L68" s="2" t="s">
        <v>101</v>
      </c>
      <c r="AB68" t="str">
        <f t="shared" si="1"/>
        <v>Lachezar Nikolav and Miss Daniella Faulker (31/05/2021 - present)</v>
      </c>
    </row>
    <row r="69" spans="1:29" x14ac:dyDescent="0.2">
      <c r="A69" s="3">
        <v>75</v>
      </c>
      <c r="B69" s="2" t="s">
        <v>188</v>
      </c>
      <c r="C69" s="3">
        <v>817</v>
      </c>
      <c r="D69" s="2" t="s">
        <v>575</v>
      </c>
      <c r="E69" s="160">
        <v>44027</v>
      </c>
      <c r="F69" s="160">
        <v>44348</v>
      </c>
      <c r="G69" s="3">
        <v>600</v>
      </c>
      <c r="H69" s="2" t="s">
        <v>29</v>
      </c>
      <c r="I69" s="2" t="s">
        <v>130</v>
      </c>
      <c r="J69" s="3">
        <v>0</v>
      </c>
      <c r="K69" s="2" t="s">
        <v>175</v>
      </c>
      <c r="L69" s="2" t="s">
        <v>101</v>
      </c>
      <c r="AB69" t="str">
        <f t="shared" si="1"/>
        <v>Ania Barton (15/07/2020 - 01/06/2021)</v>
      </c>
    </row>
    <row r="70" spans="1:29" x14ac:dyDescent="0.2">
      <c r="A70" s="3">
        <v>75</v>
      </c>
      <c r="B70" s="2" t="s">
        <v>188</v>
      </c>
      <c r="C70" s="3">
        <v>799</v>
      </c>
      <c r="D70" s="2" t="s">
        <v>576</v>
      </c>
      <c r="E70" s="160">
        <v>43729</v>
      </c>
      <c r="F70" s="160">
        <v>43998</v>
      </c>
      <c r="G70" s="3">
        <v>775</v>
      </c>
      <c r="H70" s="2" t="s">
        <v>29</v>
      </c>
      <c r="I70" s="2" t="s">
        <v>130</v>
      </c>
      <c r="J70" s="3">
        <v>0</v>
      </c>
      <c r="K70" s="2" t="s">
        <v>175</v>
      </c>
      <c r="L70" s="2" t="s">
        <v>101</v>
      </c>
      <c r="AB70" t="str">
        <f t="shared" si="1"/>
        <v>Fahim Hanifi (21/09/2019 - 16/06/2020)</v>
      </c>
    </row>
    <row r="71" spans="1:29" x14ac:dyDescent="0.2">
      <c r="A71" s="3">
        <v>75</v>
      </c>
      <c r="B71" s="2" t="s">
        <v>188</v>
      </c>
      <c r="C71" s="3">
        <v>255</v>
      </c>
      <c r="D71" s="2" t="s">
        <v>359</v>
      </c>
      <c r="E71" s="160">
        <v>41799</v>
      </c>
      <c r="F71" s="160">
        <v>43686</v>
      </c>
      <c r="G71" s="3">
        <v>500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t="shared" si="1"/>
        <v>Mr N Olsen (09/06/2014 - 09/08/2019)</v>
      </c>
    </row>
    <row r="72" spans="1:29" x14ac:dyDescent="0.2">
      <c r="A72" s="3">
        <v>75</v>
      </c>
      <c r="B72" s="2" t="s">
        <v>188</v>
      </c>
      <c r="C72" s="3">
        <v>227</v>
      </c>
      <c r="D72" s="2" t="s">
        <v>344</v>
      </c>
      <c r="E72" s="160">
        <v>41409</v>
      </c>
      <c r="F72" s="160">
        <v>41409</v>
      </c>
      <c r="G72" s="3">
        <v>500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t="shared" si="1"/>
        <v>Mr Robinson (15/05/2013 - 15/05/2013)</v>
      </c>
    </row>
    <row r="73" spans="1:29" x14ac:dyDescent="0.2">
      <c r="A73" s="3">
        <v>75</v>
      </c>
      <c r="B73" s="2" t="s">
        <v>188</v>
      </c>
      <c r="C73" s="3">
        <v>241</v>
      </c>
      <c r="D73" s="2" t="s">
        <v>357</v>
      </c>
      <c r="E73" s="160">
        <v>41390</v>
      </c>
      <c r="F73" s="160">
        <v>41683</v>
      </c>
      <c r="G73" s="3">
        <v>500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 t="str">
        <f t="shared" si="1"/>
        <v>Anthony Heather (26/04/2013 - 13/02/2014)</v>
      </c>
      <c r="AC73" s="51"/>
    </row>
    <row r="74" spans="1:29" x14ac:dyDescent="0.2">
      <c r="A74" s="3">
        <v>75</v>
      </c>
      <c r="B74" s="2" t="s">
        <v>188</v>
      </c>
      <c r="C74" s="3">
        <v>108</v>
      </c>
      <c r="D74" s="2" t="s">
        <v>191</v>
      </c>
      <c r="E74" s="160">
        <v>39288</v>
      </c>
      <c r="F74" s="160">
        <v>41333</v>
      </c>
      <c r="G74" s="3">
        <v>530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t="shared" si="1"/>
        <v>Matthews &amp; Ward (25/07/2007 - 28/02/2013)</v>
      </c>
    </row>
    <row r="75" spans="1:29" x14ac:dyDescent="0.2">
      <c r="A75" s="3">
        <v>9</v>
      </c>
      <c r="B75" s="2" t="s">
        <v>60</v>
      </c>
      <c r="C75" s="3">
        <v>276</v>
      </c>
      <c r="D75" s="2" t="s">
        <v>397</v>
      </c>
      <c r="E75" s="160">
        <v>42597</v>
      </c>
      <c r="F75" s="160">
        <v>43091</v>
      </c>
      <c r="G75" s="3">
        <v>505</v>
      </c>
      <c r="H75" s="2" t="s">
        <v>29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t="shared" si="1"/>
        <v>Mr Peter Grant (15/08/2016 - 22/12/2017)</v>
      </c>
    </row>
    <row r="76" spans="1:29" x14ac:dyDescent="0.2">
      <c r="A76" s="3">
        <v>9</v>
      </c>
      <c r="B76" s="2" t="s">
        <v>60</v>
      </c>
      <c r="C76" s="3">
        <v>201</v>
      </c>
      <c r="D76" s="2" t="s">
        <v>319</v>
      </c>
      <c r="E76" s="160">
        <v>40695</v>
      </c>
      <c r="F76" s="160">
        <v>42460</v>
      </c>
      <c r="G76" s="3">
        <v>495</v>
      </c>
      <c r="H76" s="2" t="s">
        <v>29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t="shared" si="1"/>
        <v>Mr I Squires (01/06/2011 - 31/03/2016)</v>
      </c>
    </row>
    <row r="77" spans="1:29" x14ac:dyDescent="0.2">
      <c r="A77" s="3">
        <v>9</v>
      </c>
      <c r="B77" s="2" t="s">
        <v>60</v>
      </c>
      <c r="C77" s="3">
        <v>100</v>
      </c>
      <c r="D77" s="2" t="s">
        <v>98</v>
      </c>
      <c r="E77" s="160">
        <v>39162</v>
      </c>
      <c r="F77" s="160">
        <v>40654</v>
      </c>
      <c r="G77" s="3">
        <v>500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t="shared" si="1"/>
        <v>Legg &amp; Thomas (21/03/2007 - 21/04/2011)</v>
      </c>
    </row>
    <row r="78" spans="1:29" x14ac:dyDescent="0.2">
      <c r="A78" s="3">
        <v>9</v>
      </c>
      <c r="B78" s="2" t="s">
        <v>60</v>
      </c>
      <c r="C78" s="3">
        <v>54</v>
      </c>
      <c r="D78" s="2" t="s">
        <v>9</v>
      </c>
      <c r="E78" s="160">
        <v>38887</v>
      </c>
      <c r="F78" s="160">
        <v>39103</v>
      </c>
      <c r="G78" s="3">
        <v>424.64</v>
      </c>
      <c r="H78" s="2" t="s">
        <v>28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t="shared" si="1"/>
        <v>Williams (19/06/2006 - 21/01/2007)</v>
      </c>
    </row>
    <row r="79" spans="1:29" x14ac:dyDescent="0.2">
      <c r="A79" s="3">
        <v>9</v>
      </c>
      <c r="B79" s="2" t="s">
        <v>60</v>
      </c>
      <c r="C79" s="3">
        <v>25</v>
      </c>
      <c r="D79" s="2" t="s">
        <v>46</v>
      </c>
      <c r="E79" s="160">
        <v>38467</v>
      </c>
      <c r="F79" s="160">
        <v>38852</v>
      </c>
      <c r="G79" s="3">
        <v>415.4</v>
      </c>
      <c r="H79" s="2" t="s">
        <v>28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t="shared" si="1"/>
        <v>Riley (25/04/2005 - 15/05/2006)</v>
      </c>
    </row>
    <row r="80" spans="1:29" x14ac:dyDescent="0.2">
      <c r="A80" s="3">
        <v>9</v>
      </c>
      <c r="B80" s="2" t="s">
        <v>60</v>
      </c>
      <c r="C80" s="3">
        <v>17</v>
      </c>
      <c r="D80" s="2" t="s">
        <v>47</v>
      </c>
      <c r="E80" s="160">
        <v>38191</v>
      </c>
      <c r="F80" s="160">
        <v>38440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t="shared" si="1"/>
        <v>McAvery (23/07/2004 - 29/03/2005)</v>
      </c>
    </row>
    <row r="81" spans="1:29" x14ac:dyDescent="0.2">
      <c r="A81" s="3">
        <v>10</v>
      </c>
      <c r="B81" s="2" t="s">
        <v>61</v>
      </c>
      <c r="C81" s="3">
        <v>176</v>
      </c>
      <c r="D81" s="2" t="s">
        <v>292</v>
      </c>
      <c r="E81" s="160">
        <v>40282</v>
      </c>
      <c r="F81" s="2"/>
      <c r="G81" s="3">
        <v>450</v>
      </c>
      <c r="H81" s="2" t="s">
        <v>29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t="shared" si="1"/>
        <v>Martin Brett (14/04/2010 - present)</v>
      </c>
    </row>
    <row r="82" spans="1:29" x14ac:dyDescent="0.2">
      <c r="A82" s="3">
        <v>10</v>
      </c>
      <c r="B82" s="2" t="s">
        <v>61</v>
      </c>
      <c r="C82" s="3">
        <v>170</v>
      </c>
      <c r="D82" s="2" t="s">
        <v>260</v>
      </c>
      <c r="E82" s="160">
        <v>40148</v>
      </c>
      <c r="F82" s="160">
        <v>40254</v>
      </c>
      <c r="G82" s="3">
        <v>460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t="shared" si="1"/>
        <v>Toombs (01/12/2009 - 17/03/2010)</v>
      </c>
    </row>
    <row r="83" spans="1:29" x14ac:dyDescent="0.2">
      <c r="A83" s="3">
        <v>10</v>
      </c>
      <c r="B83" s="2" t="s">
        <v>61</v>
      </c>
      <c r="C83" s="3">
        <v>111</v>
      </c>
      <c r="D83" s="2" t="s">
        <v>193</v>
      </c>
      <c r="E83" s="160">
        <v>39325</v>
      </c>
      <c r="F83" s="160">
        <v>40147</v>
      </c>
      <c r="G83" s="3">
        <v>450</v>
      </c>
      <c r="H83" s="2" t="s">
        <v>29</v>
      </c>
      <c r="I83" s="2" t="s">
        <v>95</v>
      </c>
      <c r="J83" s="3">
        <v>10</v>
      </c>
      <c r="K83" s="2" t="s">
        <v>96</v>
      </c>
      <c r="L83" s="2" t="s">
        <v>97</v>
      </c>
      <c r="AB83" t="str">
        <f t="shared" si="1"/>
        <v>Scouarnec (31/08/2007 - 30/11/2009)</v>
      </c>
    </row>
    <row r="84" spans="1:29" s="51" customFormat="1" x14ac:dyDescent="0.2">
      <c r="A84" s="3">
        <v>10</v>
      </c>
      <c r="B84" s="2" t="s">
        <v>61</v>
      </c>
      <c r="C84" s="3">
        <v>43</v>
      </c>
      <c r="D84" s="2" t="s">
        <v>10</v>
      </c>
      <c r="E84" s="160">
        <v>38394</v>
      </c>
      <c r="F84" s="160">
        <v>39314</v>
      </c>
      <c r="G84" s="3">
        <v>392.32</v>
      </c>
      <c r="H84" s="2" t="s">
        <v>28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t="shared" si="1"/>
        <v>Hall (11/02/2005 - 20/08/2007)</v>
      </c>
      <c r="AC84"/>
    </row>
    <row r="85" spans="1:29" x14ac:dyDescent="0.2">
      <c r="A85" s="3">
        <v>10</v>
      </c>
      <c r="B85" s="2" t="s">
        <v>61</v>
      </c>
      <c r="C85" s="3">
        <v>18</v>
      </c>
      <c r="D85" s="2" t="s">
        <v>48</v>
      </c>
      <c r="E85" s="160">
        <v>38205</v>
      </c>
      <c r="F85" s="160">
        <v>38364</v>
      </c>
      <c r="G85" s="3">
        <v>400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t="shared" si="1"/>
        <v>Bilham (06/08/2004 - 12/01/2005)</v>
      </c>
    </row>
    <row r="86" spans="1:29" x14ac:dyDescent="0.2">
      <c r="A86" s="3">
        <v>11</v>
      </c>
      <c r="B86" s="2" t="s">
        <v>62</v>
      </c>
      <c r="C86" s="3">
        <v>806</v>
      </c>
      <c r="D86" s="2" t="s">
        <v>577</v>
      </c>
      <c r="E86" s="160">
        <v>43806</v>
      </c>
      <c r="F86" s="2"/>
      <c r="G86" s="3">
        <v>500</v>
      </c>
      <c r="H86" s="2" t="s">
        <v>29</v>
      </c>
      <c r="I86" s="2" t="s">
        <v>130</v>
      </c>
      <c r="J86" s="3">
        <v>0</v>
      </c>
      <c r="K86" s="2" t="s">
        <v>175</v>
      </c>
      <c r="L86" s="2" t="s">
        <v>101</v>
      </c>
      <c r="AB86" t="str">
        <f t="shared" si="1"/>
        <v>Matthew Tidbury (07/12/2019 - present)</v>
      </c>
    </row>
    <row r="87" spans="1:29" x14ac:dyDescent="0.2">
      <c r="A87" s="3">
        <v>11</v>
      </c>
      <c r="B87" s="2" t="s">
        <v>62</v>
      </c>
      <c r="C87" s="3">
        <v>225</v>
      </c>
      <c r="D87" s="2" t="s">
        <v>339</v>
      </c>
      <c r="E87" s="160">
        <v>41291</v>
      </c>
      <c r="F87" s="160">
        <v>43512</v>
      </c>
      <c r="G87" s="3">
        <v>395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t="shared" si="1"/>
        <v>Wright (17/01/2013 - 16/02/2019)</v>
      </c>
    </row>
    <row r="88" spans="1:29" x14ac:dyDescent="0.2">
      <c r="A88" s="3">
        <v>11</v>
      </c>
      <c r="B88" s="2" t="s">
        <v>62</v>
      </c>
      <c r="C88" s="3">
        <v>195</v>
      </c>
      <c r="D88" s="2" t="s">
        <v>314</v>
      </c>
      <c r="E88" s="160">
        <v>40525</v>
      </c>
      <c r="F88" s="160">
        <v>41591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t="shared" si="1"/>
        <v>J Fraser (13/12/2010 - 13/11/2013)</v>
      </c>
    </row>
    <row r="89" spans="1:29" x14ac:dyDescent="0.2">
      <c r="A89" s="3">
        <v>11</v>
      </c>
      <c r="B89" s="2" t="s">
        <v>62</v>
      </c>
      <c r="C89" s="3">
        <v>181</v>
      </c>
      <c r="D89" s="2" t="s">
        <v>301</v>
      </c>
      <c r="E89" s="160">
        <v>40408</v>
      </c>
      <c r="F89" s="160">
        <v>40508</v>
      </c>
      <c r="G89" s="3">
        <v>380</v>
      </c>
      <c r="H89" s="2" t="s">
        <v>29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t="shared" si="1"/>
        <v>Mrs C Carrington (18/08/2010 - 26/11/2010)</v>
      </c>
    </row>
    <row r="90" spans="1:29" s="51" customFormat="1" x14ac:dyDescent="0.2">
      <c r="A90" s="3">
        <v>11</v>
      </c>
      <c r="B90" s="2" t="s">
        <v>62</v>
      </c>
      <c r="C90" s="3">
        <v>166</v>
      </c>
      <c r="D90" s="2" t="s">
        <v>284</v>
      </c>
      <c r="E90" s="160">
        <v>40151</v>
      </c>
      <c r="F90" s="160">
        <v>40334</v>
      </c>
      <c r="G90" s="3">
        <v>390</v>
      </c>
      <c r="H90" s="2" t="s">
        <v>29</v>
      </c>
      <c r="I90" s="2" t="s">
        <v>95</v>
      </c>
      <c r="J90" s="3">
        <v>10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t="shared" si="1"/>
        <v>P Chatfield (04/12/2009 - 05/06/2010)</v>
      </c>
      <c r="AC90"/>
    </row>
    <row r="91" spans="1:29" x14ac:dyDescent="0.2">
      <c r="A91" s="3">
        <v>11</v>
      </c>
      <c r="B91" s="2" t="s">
        <v>62</v>
      </c>
      <c r="C91" s="3">
        <v>144</v>
      </c>
      <c r="D91" s="2" t="s">
        <v>260</v>
      </c>
      <c r="E91" s="160">
        <v>39709</v>
      </c>
      <c r="F91" s="160">
        <v>40147</v>
      </c>
      <c r="G91" s="3">
        <v>380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t="shared" si="1"/>
        <v>Toombs (18/09/2008 - 30/11/2009)</v>
      </c>
    </row>
    <row r="92" spans="1:29" x14ac:dyDescent="0.2">
      <c r="A92" s="3">
        <v>11</v>
      </c>
      <c r="B92" s="2" t="s">
        <v>62</v>
      </c>
      <c r="C92" s="3">
        <v>23</v>
      </c>
      <c r="D92" s="2" t="s">
        <v>158</v>
      </c>
      <c r="E92" s="160">
        <v>38324</v>
      </c>
      <c r="F92" s="160">
        <v>39695</v>
      </c>
      <c r="G92" s="3">
        <v>346.16</v>
      </c>
      <c r="H92" s="2" t="s">
        <v>28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t="shared" si="1"/>
        <v>Coombs (03/12/2004 - 04/09/2008)</v>
      </c>
    </row>
    <row r="93" spans="1:29" s="51" customFormat="1" x14ac:dyDescent="0.2">
      <c r="A93" s="3">
        <v>17</v>
      </c>
      <c r="B93" s="2" t="s">
        <v>63</v>
      </c>
      <c r="C93" s="3">
        <v>745</v>
      </c>
      <c r="D93" s="2" t="s">
        <v>578</v>
      </c>
      <c r="E93" s="160">
        <v>40651</v>
      </c>
      <c r="F93" s="2"/>
      <c r="G93" s="3">
        <v>300</v>
      </c>
      <c r="H93" s="2" t="s">
        <v>29</v>
      </c>
      <c r="I93" s="2" t="s">
        <v>562</v>
      </c>
      <c r="J93" s="3">
        <v>6</v>
      </c>
      <c r="K93" s="2" t="s">
        <v>96</v>
      </c>
      <c r="L93" s="2" t="s">
        <v>97</v>
      </c>
      <c r="AB93" s="132" t="s">
        <v>564</v>
      </c>
    </row>
    <row r="94" spans="1:29" x14ac:dyDescent="0.2">
      <c r="A94" s="3">
        <v>17</v>
      </c>
      <c r="B94" s="2" t="s">
        <v>63</v>
      </c>
      <c r="C94" s="3">
        <v>187</v>
      </c>
      <c r="D94" s="2" t="s">
        <v>302</v>
      </c>
      <c r="E94" s="160">
        <v>40438</v>
      </c>
      <c r="F94" s="160">
        <v>40438</v>
      </c>
      <c r="G94" s="3">
        <v>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t="shared" si="1"/>
        <v>P Adams (17/09/2010 - 17/09/2010)</v>
      </c>
    </row>
    <row r="95" spans="1:29" x14ac:dyDescent="0.2">
      <c r="A95" s="3">
        <v>17</v>
      </c>
      <c r="B95" s="2" t="s">
        <v>63</v>
      </c>
      <c r="C95" s="3">
        <v>171</v>
      </c>
      <c r="D95" s="2" t="s">
        <v>293</v>
      </c>
      <c r="E95" s="160">
        <v>40179</v>
      </c>
      <c r="F95" s="160">
        <v>40390</v>
      </c>
      <c r="G95" s="3">
        <v>380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t="shared" si="1"/>
        <v>S. Amin (01/01/2010 - 31/07/2010)</v>
      </c>
    </row>
    <row r="96" spans="1:29" x14ac:dyDescent="0.2">
      <c r="A96" s="3">
        <v>17</v>
      </c>
      <c r="B96" s="2" t="s">
        <v>63</v>
      </c>
      <c r="C96" s="3">
        <v>117</v>
      </c>
      <c r="D96" s="2" t="s">
        <v>204</v>
      </c>
      <c r="E96" s="160">
        <v>39479</v>
      </c>
      <c r="F96" s="160">
        <v>40025</v>
      </c>
      <c r="G96" s="3">
        <v>400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t="shared" si="1"/>
        <v>Oleg Korenev (01/02/2008 - 31/07/2009)</v>
      </c>
    </row>
    <row r="97" spans="1:29" x14ac:dyDescent="0.2">
      <c r="A97" s="3">
        <v>17</v>
      </c>
      <c r="B97" s="2" t="s">
        <v>63</v>
      </c>
      <c r="C97" s="3">
        <v>60</v>
      </c>
      <c r="D97" s="2" t="s">
        <v>181</v>
      </c>
      <c r="E97" s="160">
        <v>38909</v>
      </c>
      <c r="F97" s="160">
        <v>39458</v>
      </c>
      <c r="G97" s="3">
        <v>385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t="shared" si="1"/>
        <v>Yuppie Puppiez (11/07/2006 - 11/01/2008)</v>
      </c>
    </row>
    <row r="98" spans="1:29" x14ac:dyDescent="0.2">
      <c r="A98" s="3">
        <v>44</v>
      </c>
      <c r="B98" s="2" t="s">
        <v>64</v>
      </c>
      <c r="C98" s="3">
        <v>268</v>
      </c>
      <c r="D98" s="2" t="s">
        <v>382</v>
      </c>
      <c r="E98" s="160">
        <v>42401</v>
      </c>
      <c r="F98" s="2"/>
      <c r="G98" s="3">
        <v>520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t="shared" si="1"/>
        <v>Ms J Henson (01/02/2016 - present)</v>
      </c>
    </row>
    <row r="99" spans="1:29" x14ac:dyDescent="0.2">
      <c r="A99" s="3">
        <v>44</v>
      </c>
      <c r="B99" s="2" t="s">
        <v>64</v>
      </c>
      <c r="C99" s="3">
        <v>57</v>
      </c>
      <c r="D99" s="2" t="s">
        <v>207</v>
      </c>
      <c r="E99" s="160">
        <v>38999</v>
      </c>
      <c r="F99" s="160">
        <v>42369</v>
      </c>
      <c r="G99" s="3">
        <v>460</v>
      </c>
      <c r="H99" s="2" t="s">
        <v>29</v>
      </c>
      <c r="I99" s="2" t="s">
        <v>95</v>
      </c>
      <c r="J99" s="3">
        <v>10</v>
      </c>
      <c r="K99" s="2" t="s">
        <v>96</v>
      </c>
      <c r="L99" s="2" t="s">
        <v>97</v>
      </c>
      <c r="AB99" t="str">
        <f t="shared" si="1"/>
        <v>Noble (prev Tombs) (09/10/2006 - 31/12/2015)</v>
      </c>
    </row>
    <row r="100" spans="1:29" x14ac:dyDescent="0.2">
      <c r="A100" s="3">
        <v>44</v>
      </c>
      <c r="B100" s="2" t="s">
        <v>64</v>
      </c>
      <c r="C100" s="3">
        <v>61</v>
      </c>
      <c r="D100" s="2" t="s">
        <v>180</v>
      </c>
      <c r="E100" s="160">
        <v>38849</v>
      </c>
      <c r="F100" s="160">
        <v>38972</v>
      </c>
      <c r="G100" s="3">
        <v>460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t="shared" si="1"/>
        <v>E. Long (12/05/2006 - 12/09/2006)</v>
      </c>
    </row>
    <row r="101" spans="1:29" x14ac:dyDescent="0.2">
      <c r="A101" s="3">
        <v>16</v>
      </c>
      <c r="B101" s="2" t="s">
        <v>65</v>
      </c>
      <c r="C101" s="3">
        <v>798</v>
      </c>
      <c r="D101" s="2" t="s">
        <v>579</v>
      </c>
      <c r="E101" s="160">
        <v>43733</v>
      </c>
      <c r="F101" s="2"/>
      <c r="G101" s="3">
        <v>720</v>
      </c>
      <c r="H101" s="2" t="s">
        <v>29</v>
      </c>
      <c r="I101" s="2" t="s">
        <v>130</v>
      </c>
      <c r="J101" s="3">
        <v>0</v>
      </c>
      <c r="K101" s="2" t="s">
        <v>175</v>
      </c>
      <c r="L101" s="2" t="s">
        <v>101</v>
      </c>
      <c r="AB101" t="str">
        <f t="shared" si="1"/>
        <v>Mark Williams (25/09/2019 - present)</v>
      </c>
    </row>
    <row r="102" spans="1:29" x14ac:dyDescent="0.2">
      <c r="A102" s="3">
        <v>16</v>
      </c>
      <c r="B102" s="2" t="s">
        <v>65</v>
      </c>
      <c r="C102" s="3">
        <v>265</v>
      </c>
      <c r="D102" s="2" t="s">
        <v>377</v>
      </c>
      <c r="E102" s="160">
        <v>42291</v>
      </c>
      <c r="F102" s="160">
        <v>43633</v>
      </c>
      <c r="G102" s="3">
        <v>625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 t="str">
        <f t="shared" si="1"/>
        <v>Mr John Sharpe (14/10/2015 - 17/06/2019)</v>
      </c>
      <c r="AC102" s="51"/>
    </row>
    <row r="103" spans="1:29" x14ac:dyDescent="0.2">
      <c r="A103" s="3">
        <v>16</v>
      </c>
      <c r="B103" s="2" t="s">
        <v>65</v>
      </c>
      <c r="C103" s="3">
        <v>245</v>
      </c>
      <c r="D103" s="2" t="s">
        <v>360</v>
      </c>
      <c r="E103" s="160">
        <v>41803</v>
      </c>
      <c r="F103" s="160">
        <v>42168</v>
      </c>
      <c r="G103" s="3">
        <v>600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t="shared" si="1"/>
        <v>Mr Hoff &amp; Mr Gunn (13/06/2014 - 13/06/2015)</v>
      </c>
    </row>
    <row r="104" spans="1:29" x14ac:dyDescent="0.2">
      <c r="A104" s="3">
        <v>16</v>
      </c>
      <c r="B104" s="2" t="s">
        <v>65</v>
      </c>
      <c r="C104" s="3">
        <v>232</v>
      </c>
      <c r="D104" s="2" t="s">
        <v>345</v>
      </c>
      <c r="E104" s="160">
        <v>41456</v>
      </c>
      <c r="F104" s="160">
        <v>41776</v>
      </c>
      <c r="G104" s="3">
        <v>600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t="shared" si="1"/>
        <v>Mr Wright (01/07/2013 - 17/05/2014)</v>
      </c>
    </row>
    <row r="105" spans="1:29" x14ac:dyDescent="0.2">
      <c r="A105" s="3">
        <v>16</v>
      </c>
      <c r="B105" s="2" t="s">
        <v>65</v>
      </c>
      <c r="C105" s="3">
        <v>118</v>
      </c>
      <c r="D105" s="2" t="s">
        <v>205</v>
      </c>
      <c r="E105" s="160">
        <v>39367</v>
      </c>
      <c r="F105" s="160">
        <v>41345</v>
      </c>
      <c r="G105" s="3">
        <v>580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t="shared" si="1"/>
        <v>Robins &amp; Johnstone (12/10/2007 - 12/03/2013)</v>
      </c>
    </row>
    <row r="106" spans="1:29" x14ac:dyDescent="0.2">
      <c r="A106" s="3">
        <v>16</v>
      </c>
      <c r="B106" s="2" t="s">
        <v>65</v>
      </c>
      <c r="C106" s="3">
        <v>58</v>
      </c>
      <c r="D106" s="2" t="s">
        <v>208</v>
      </c>
      <c r="E106" s="160">
        <v>38999</v>
      </c>
      <c r="F106" s="160">
        <v>39339</v>
      </c>
      <c r="G106" s="3">
        <v>520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t="shared" si="1"/>
        <v>Toombs (prev Taylor)  (09/10/2006 - 14/09/2007)</v>
      </c>
    </row>
    <row r="107" spans="1:29" x14ac:dyDescent="0.2">
      <c r="A107" s="3">
        <v>16</v>
      </c>
      <c r="B107" s="2" t="s">
        <v>65</v>
      </c>
      <c r="C107" s="3">
        <v>62</v>
      </c>
      <c r="D107" s="2" t="s">
        <v>49</v>
      </c>
      <c r="E107" s="160">
        <v>38849</v>
      </c>
      <c r="F107" s="160">
        <v>38972</v>
      </c>
      <c r="G107" s="3">
        <v>485</v>
      </c>
      <c r="H107" s="2" t="s">
        <v>29</v>
      </c>
      <c r="I107" s="2" t="s">
        <v>95</v>
      </c>
      <c r="J107" s="3">
        <v>10</v>
      </c>
      <c r="K107" s="2" t="s">
        <v>96</v>
      </c>
      <c r="L107" s="2" t="s">
        <v>97</v>
      </c>
      <c r="AB107" t="str">
        <f t="shared" si="1"/>
        <v>L. Long (12/05/2006 - 12/09/2006)</v>
      </c>
    </row>
    <row r="108" spans="1:29" x14ac:dyDescent="0.2">
      <c r="A108" s="3">
        <v>16</v>
      </c>
      <c r="B108" s="2" t="s">
        <v>65</v>
      </c>
      <c r="C108" s="3">
        <v>24</v>
      </c>
      <c r="D108" s="2" t="s">
        <v>50</v>
      </c>
      <c r="E108" s="160">
        <v>36977</v>
      </c>
      <c r="F108" s="160">
        <v>38662</v>
      </c>
      <c r="G108" s="3">
        <v>320</v>
      </c>
      <c r="H108" s="2" t="s">
        <v>29</v>
      </c>
      <c r="I108" s="2" t="s">
        <v>95</v>
      </c>
      <c r="J108" s="3">
        <v>10</v>
      </c>
      <c r="K108" s="2" t="s">
        <v>96</v>
      </c>
      <c r="L108" s="2" t="s">
        <v>97</v>
      </c>
      <c r="AB108" t="str">
        <f t="shared" si="1"/>
        <v>Groizard (27/03/2001 - 06/11/2005)</v>
      </c>
    </row>
    <row r="109" spans="1:29" x14ac:dyDescent="0.2">
      <c r="A109" s="3">
        <v>19</v>
      </c>
      <c r="B109" s="2" t="s">
        <v>99</v>
      </c>
      <c r="C109" s="3">
        <v>831</v>
      </c>
      <c r="D109" s="2" t="s">
        <v>771</v>
      </c>
      <c r="E109" s="160">
        <v>44047</v>
      </c>
      <c r="F109" s="2"/>
      <c r="G109" s="3">
        <v>675</v>
      </c>
      <c r="H109" s="2" t="s">
        <v>29</v>
      </c>
      <c r="I109" s="2" t="s">
        <v>130</v>
      </c>
      <c r="J109" s="3">
        <v>0</v>
      </c>
      <c r="K109" s="2" t="s">
        <v>175</v>
      </c>
      <c r="L109" s="2" t="s">
        <v>101</v>
      </c>
      <c r="AB109" t="str">
        <f t="shared" si="1"/>
        <v>Marut Doyle and Miss Thunyakan Chewwaiyaphat (04/08/2020 - present)</v>
      </c>
    </row>
    <row r="110" spans="1:29" x14ac:dyDescent="0.2">
      <c r="A110" s="3">
        <v>19</v>
      </c>
      <c r="B110" s="2" t="s">
        <v>99</v>
      </c>
      <c r="C110" s="3">
        <v>794</v>
      </c>
      <c r="D110" s="2" t="s">
        <v>772</v>
      </c>
      <c r="E110" s="160">
        <v>43728</v>
      </c>
      <c r="F110" s="160">
        <v>43604</v>
      </c>
      <c r="G110" s="3">
        <v>2216</v>
      </c>
      <c r="H110" s="2" t="s">
        <v>29</v>
      </c>
      <c r="I110" s="2" t="s">
        <v>130</v>
      </c>
      <c r="J110" s="3">
        <v>0</v>
      </c>
      <c r="K110" s="2" t="s">
        <v>175</v>
      </c>
      <c r="L110" s="2" t="s">
        <v>101</v>
      </c>
      <c r="AB110" t="str">
        <f t="shared" si="1"/>
        <v>Farouk Afful-Brown &amp; Joshua Omolu-Gomes  (20/09/2019 - 19/05/2019)</v>
      </c>
    </row>
    <row r="111" spans="1:29" x14ac:dyDescent="0.2">
      <c r="A111" s="3">
        <v>19</v>
      </c>
      <c r="B111" s="2" t="s">
        <v>99</v>
      </c>
      <c r="C111" s="3">
        <v>773</v>
      </c>
      <c r="D111" s="2" t="s">
        <v>581</v>
      </c>
      <c r="E111" s="160">
        <v>43361</v>
      </c>
      <c r="F111" s="160">
        <v>43694</v>
      </c>
      <c r="G111" s="3">
        <v>0</v>
      </c>
      <c r="H111" s="2" t="s">
        <v>29</v>
      </c>
      <c r="I111" s="2" t="s">
        <v>562</v>
      </c>
      <c r="J111" s="3">
        <v>6</v>
      </c>
      <c r="K111" s="2" t="s">
        <v>96</v>
      </c>
      <c r="L111" s="2" t="s">
        <v>97</v>
      </c>
      <c r="AB111" t="str">
        <f t="shared" si="1"/>
        <v>Tsz Long Wong (18/09/2018 - 17/08/2019)</v>
      </c>
    </row>
    <row r="112" spans="1:29" s="51" customFormat="1" x14ac:dyDescent="0.2">
      <c r="A112" s="3">
        <v>19</v>
      </c>
      <c r="B112" s="2" t="s">
        <v>99</v>
      </c>
      <c r="C112" s="3">
        <v>774</v>
      </c>
      <c r="D112" s="2" t="s">
        <v>580</v>
      </c>
      <c r="E112" s="160">
        <v>43361</v>
      </c>
      <c r="F112" s="160">
        <v>43694</v>
      </c>
      <c r="G112" s="3">
        <v>0</v>
      </c>
      <c r="H112" s="2" t="s">
        <v>29</v>
      </c>
      <c r="I112" s="2" t="s">
        <v>562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t="shared" si="1"/>
        <v>Yue Ting Edwin Lam (18/09/2018 - 17/08/2019)</v>
      </c>
      <c r="AC112"/>
    </row>
    <row r="113" spans="1:29" x14ac:dyDescent="0.2">
      <c r="A113" s="3">
        <v>19</v>
      </c>
      <c r="B113" s="2" t="s">
        <v>99</v>
      </c>
      <c r="C113" s="3">
        <v>761</v>
      </c>
      <c r="D113" s="2" t="s">
        <v>582</v>
      </c>
      <c r="E113" s="160">
        <v>42979</v>
      </c>
      <c r="F113" s="160">
        <v>43343</v>
      </c>
      <c r="G113" s="3">
        <v>0</v>
      </c>
      <c r="H113" s="2" t="s">
        <v>29</v>
      </c>
      <c r="I113" s="2" t="s">
        <v>562</v>
      </c>
      <c r="J113" s="3">
        <v>6</v>
      </c>
      <c r="K113" s="2" t="s">
        <v>96</v>
      </c>
      <c r="L113" s="2" t="s">
        <v>97</v>
      </c>
      <c r="AB113" t="str">
        <f t="shared" si="1"/>
        <v>AK MD AFIF IZZUDDIN PG HJ ISMAIL (01/09/2017 - 31/08/2018)</v>
      </c>
    </row>
    <row r="114" spans="1:29" x14ac:dyDescent="0.2">
      <c r="A114" s="3">
        <v>19</v>
      </c>
      <c r="B114" s="2" t="s">
        <v>99</v>
      </c>
      <c r="C114" s="3">
        <v>746</v>
      </c>
      <c r="D114" s="2" t="s">
        <v>583</v>
      </c>
      <c r="E114" s="160">
        <v>42718</v>
      </c>
      <c r="F114" s="160">
        <v>42960</v>
      </c>
      <c r="G114" s="3">
        <v>0</v>
      </c>
      <c r="H114" s="2" t="s">
        <v>29</v>
      </c>
      <c r="I114" s="2" t="s">
        <v>562</v>
      </c>
      <c r="J114" s="3">
        <v>6</v>
      </c>
      <c r="K114" s="2" t="s">
        <v>96</v>
      </c>
      <c r="L114" s="2" t="s">
        <v>97</v>
      </c>
      <c r="AB114" t="str">
        <f t="shared" si="1"/>
        <v>Syasya Aristoteies (14/12/2016 - 13/08/2017)</v>
      </c>
    </row>
    <row r="115" spans="1:29" x14ac:dyDescent="0.2">
      <c r="A115" s="3">
        <v>19</v>
      </c>
      <c r="B115" s="2" t="s">
        <v>99</v>
      </c>
      <c r="C115" s="3">
        <v>262</v>
      </c>
      <c r="D115" s="2" t="s">
        <v>379</v>
      </c>
      <c r="E115" s="160">
        <v>42261</v>
      </c>
      <c r="F115" s="160">
        <v>42688</v>
      </c>
      <c r="G115" s="3">
        <v>660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t="shared" si="1"/>
        <v>Miss Syasya Aristoteles &amp; Miss Firzanah Sufri (14/09/2015 - 14/11/2016)</v>
      </c>
    </row>
    <row r="116" spans="1:29" x14ac:dyDescent="0.2">
      <c r="A116" s="3">
        <v>19</v>
      </c>
      <c r="B116" s="2" t="s">
        <v>99</v>
      </c>
      <c r="C116" s="3">
        <v>258</v>
      </c>
      <c r="D116" s="2" t="s">
        <v>365</v>
      </c>
      <c r="E116" s="160">
        <v>41883</v>
      </c>
      <c r="F116" s="160">
        <v>42156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t="shared" si="1"/>
        <v>Jessica Hastings &amp; Chloe Chen (01/09/2014 - 01/06/2015)</v>
      </c>
    </row>
    <row r="117" spans="1:29" x14ac:dyDescent="0.2">
      <c r="A117" s="3">
        <v>19</v>
      </c>
      <c r="B117" s="2" t="s">
        <v>99</v>
      </c>
      <c r="C117" s="3">
        <v>257</v>
      </c>
      <c r="D117" s="2" t="s">
        <v>365</v>
      </c>
      <c r="E117" s="160">
        <v>41821</v>
      </c>
      <c r="F117" s="160">
        <v>41883</v>
      </c>
      <c r="G117" s="3">
        <v>300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t="shared" si="1"/>
        <v>Jessica Hastings &amp; Chloe Chen (01/07/2014 - 01/09/2014)</v>
      </c>
    </row>
    <row r="118" spans="1:29" x14ac:dyDescent="0.2">
      <c r="A118" s="3">
        <v>19</v>
      </c>
      <c r="B118" s="2" t="s">
        <v>99</v>
      </c>
      <c r="C118" s="3">
        <v>233</v>
      </c>
      <c r="D118" s="2" t="s">
        <v>349</v>
      </c>
      <c r="E118" s="160">
        <v>41518</v>
      </c>
      <c r="F118" s="160">
        <v>41821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t="shared" si="1"/>
        <v>Ms Bird &amp; Ms Cornish (01/09/2013 - 01/07/2014)</v>
      </c>
    </row>
    <row r="119" spans="1:29" x14ac:dyDescent="0.2">
      <c r="A119" s="3">
        <v>19</v>
      </c>
      <c r="B119" s="2" t="s">
        <v>99</v>
      </c>
      <c r="C119" s="3">
        <v>236</v>
      </c>
      <c r="D119" s="2" t="s">
        <v>350</v>
      </c>
      <c r="E119" s="160">
        <v>41153</v>
      </c>
      <c r="F119" s="160">
        <v>41442</v>
      </c>
      <c r="G119" s="3">
        <v>600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t="shared" si="1"/>
        <v>Ms Varsani &amp; Miss Wokey (01/09/2012 - 17/06/2013)</v>
      </c>
    </row>
    <row r="120" spans="1:29" x14ac:dyDescent="0.2">
      <c r="A120" s="3">
        <v>19</v>
      </c>
      <c r="B120" s="2" t="s">
        <v>99</v>
      </c>
      <c r="C120" s="3">
        <v>186</v>
      </c>
      <c r="D120" s="2" t="s">
        <v>303</v>
      </c>
      <c r="E120" s="160">
        <v>40432</v>
      </c>
      <c r="F120" s="160">
        <v>40705</v>
      </c>
      <c r="G120" s="3">
        <v>600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t="shared" si="1"/>
        <v>P. Vara &amp; M. Varsani (11/09/2010 - 11/06/2011)</v>
      </c>
    </row>
    <row r="121" spans="1:29" x14ac:dyDescent="0.2">
      <c r="A121" s="3">
        <v>19</v>
      </c>
      <c r="B121" s="2" t="s">
        <v>99</v>
      </c>
      <c r="C121" s="3">
        <v>154</v>
      </c>
      <c r="D121" s="2" t="s">
        <v>272</v>
      </c>
      <c r="E121" s="160">
        <v>39927</v>
      </c>
      <c r="F121" s="160">
        <v>40323</v>
      </c>
      <c r="G121" s="3">
        <v>620</v>
      </c>
      <c r="H121" s="2" t="s">
        <v>29</v>
      </c>
      <c r="I121" s="2" t="s">
        <v>95</v>
      </c>
      <c r="J121" s="3">
        <v>10</v>
      </c>
      <c r="K121" s="2" t="s">
        <v>96</v>
      </c>
      <c r="L121" s="2" t="s">
        <v>97</v>
      </c>
      <c r="AB121" t="str">
        <f t="shared" si="1"/>
        <v>Glenn Wallace &amp; Gary Hanna (24/04/2009 - 25/05/2010)</v>
      </c>
    </row>
    <row r="122" spans="1:29" x14ac:dyDescent="0.2">
      <c r="A122" s="3">
        <v>19</v>
      </c>
      <c r="B122" s="2" t="s">
        <v>99</v>
      </c>
      <c r="C122" s="3">
        <v>121</v>
      </c>
      <c r="D122" s="2" t="s">
        <v>220</v>
      </c>
      <c r="E122" s="160">
        <v>39507</v>
      </c>
      <c r="F122" s="160">
        <v>39754</v>
      </c>
      <c r="G122" s="3">
        <v>620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t="shared" si="1"/>
        <v>Mabe &amp; Hodgkins   (29/02/2008 - 02/11/2008)</v>
      </c>
    </row>
    <row r="123" spans="1:29" x14ac:dyDescent="0.2">
      <c r="A123" s="3">
        <v>19</v>
      </c>
      <c r="B123" s="2" t="s">
        <v>99</v>
      </c>
      <c r="C123" s="3">
        <v>32</v>
      </c>
      <c r="D123" s="2" t="s">
        <v>174</v>
      </c>
      <c r="E123" s="160">
        <v>38638</v>
      </c>
      <c r="F123" s="160">
        <v>39275</v>
      </c>
      <c r="G123" s="3">
        <v>625</v>
      </c>
      <c r="H123" s="2" t="s">
        <v>29</v>
      </c>
      <c r="I123" s="2" t="s">
        <v>100</v>
      </c>
      <c r="J123" s="3">
        <v>65</v>
      </c>
      <c r="K123" s="2" t="s">
        <v>175</v>
      </c>
      <c r="L123" s="2" t="s">
        <v>97</v>
      </c>
      <c r="AB123" t="str">
        <f t="shared" si="1"/>
        <v>Boctor/Bhatti (13/10/2005 - 12/07/2007)</v>
      </c>
    </row>
    <row r="124" spans="1:29" x14ac:dyDescent="0.2">
      <c r="A124" s="3">
        <v>19</v>
      </c>
      <c r="B124" s="2" t="s">
        <v>99</v>
      </c>
      <c r="C124" s="3">
        <v>28</v>
      </c>
      <c r="D124" s="2" t="s">
        <v>176</v>
      </c>
      <c r="E124" s="160">
        <v>38423</v>
      </c>
      <c r="F124" s="160">
        <v>38629</v>
      </c>
      <c r="G124" s="3">
        <v>565</v>
      </c>
      <c r="H124" s="2" t="s">
        <v>29</v>
      </c>
      <c r="I124" s="2" t="s">
        <v>95</v>
      </c>
      <c r="J124" s="3">
        <v>10</v>
      </c>
      <c r="K124" s="2" t="s">
        <v>96</v>
      </c>
      <c r="L124" s="2" t="s">
        <v>97</v>
      </c>
      <c r="AB124" t="str">
        <f t="shared" si="1"/>
        <v>Lebbon/Ravensdale (12/03/2005 - 04/10/2005)</v>
      </c>
    </row>
    <row r="125" spans="1:29" s="51" customFormat="1" x14ac:dyDescent="0.2">
      <c r="A125" s="3">
        <v>34</v>
      </c>
      <c r="B125" s="2" t="s">
        <v>102</v>
      </c>
      <c r="C125" s="3">
        <v>819</v>
      </c>
      <c r="D125" s="2" t="s">
        <v>773</v>
      </c>
      <c r="E125" s="160">
        <v>44042</v>
      </c>
      <c r="F125" s="2"/>
      <c r="G125" s="3">
        <v>675</v>
      </c>
      <c r="H125" s="2" t="s">
        <v>29</v>
      </c>
      <c r="I125" s="2" t="s">
        <v>130</v>
      </c>
      <c r="J125" s="3">
        <v>0</v>
      </c>
      <c r="K125" s="2" t="s">
        <v>175</v>
      </c>
      <c r="L125" s="2" t="s">
        <v>101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t="shared" si="1"/>
        <v>Raja Numanunnain and Miss Hortenzia Kulcsar (30/07/2020 - present)</v>
      </c>
      <c r="AC125"/>
    </row>
    <row r="126" spans="1:29" x14ac:dyDescent="0.2">
      <c r="A126" s="3">
        <v>34</v>
      </c>
      <c r="B126" s="2" t="s">
        <v>102</v>
      </c>
      <c r="C126" s="3">
        <v>797</v>
      </c>
      <c r="D126" s="2" t="s">
        <v>774</v>
      </c>
      <c r="E126" s="160">
        <v>43708</v>
      </c>
      <c r="F126" s="160">
        <v>44002</v>
      </c>
      <c r="G126" s="3">
        <v>775</v>
      </c>
      <c r="H126" s="2" t="s">
        <v>29</v>
      </c>
      <c r="I126" s="2" t="s">
        <v>130</v>
      </c>
      <c r="J126" s="3">
        <v>0</v>
      </c>
      <c r="K126" s="2" t="s">
        <v>175</v>
      </c>
      <c r="L126" s="2" t="s">
        <v>101</v>
      </c>
      <c r="AB126" t="str">
        <f t="shared" si="1"/>
        <v>Allan Vurayayi &amp; Victor Dunira (31/08/2019 - 20/06/2020)</v>
      </c>
    </row>
    <row r="127" spans="1:29" x14ac:dyDescent="0.2">
      <c r="A127" s="3">
        <v>34</v>
      </c>
      <c r="B127" s="2" t="s">
        <v>102</v>
      </c>
      <c r="C127" s="3">
        <v>770</v>
      </c>
      <c r="D127" s="2" t="s">
        <v>584</v>
      </c>
      <c r="E127" s="160">
        <v>43313</v>
      </c>
      <c r="F127" s="160">
        <v>43677</v>
      </c>
      <c r="G127" s="3">
        <v>0</v>
      </c>
      <c r="H127" s="2" t="s">
        <v>29</v>
      </c>
      <c r="I127" s="2" t="s">
        <v>562</v>
      </c>
      <c r="J127" s="3">
        <v>6</v>
      </c>
      <c r="K127" s="2" t="s">
        <v>96</v>
      </c>
      <c r="L127" s="2" t="s">
        <v>97</v>
      </c>
      <c r="AB127" t="str">
        <f t="shared" si="1"/>
        <v>Phoebe Louise Ranger (01/08/2018 - 31/07/2019)</v>
      </c>
    </row>
    <row r="128" spans="1:29" x14ac:dyDescent="0.2">
      <c r="A128" s="3">
        <v>34</v>
      </c>
      <c r="B128" s="2" t="s">
        <v>102</v>
      </c>
      <c r="C128" s="3">
        <v>762</v>
      </c>
      <c r="D128" s="2" t="s">
        <v>585</v>
      </c>
      <c r="E128" s="160">
        <v>42979</v>
      </c>
      <c r="F128" s="160">
        <v>43245</v>
      </c>
      <c r="G128" s="3">
        <v>0</v>
      </c>
      <c r="H128" s="2" t="s">
        <v>29</v>
      </c>
      <c r="I128" s="2" t="s">
        <v>562</v>
      </c>
      <c r="J128" s="3">
        <v>6</v>
      </c>
      <c r="K128" s="2" t="s">
        <v>96</v>
      </c>
      <c r="L128" s="2" t="s">
        <v>97</v>
      </c>
      <c r="AB128" t="str">
        <f t="shared" si="1"/>
        <v>Ximena Pintado (01/09/2017 - 25/05/2018)</v>
      </c>
    </row>
    <row r="129" spans="1:29" x14ac:dyDescent="0.2">
      <c r="A129" s="3">
        <v>34</v>
      </c>
      <c r="B129" s="2" t="s">
        <v>102</v>
      </c>
      <c r="C129" s="3">
        <v>760</v>
      </c>
      <c r="D129" s="2" t="s">
        <v>586</v>
      </c>
      <c r="E129" s="160">
        <v>42979</v>
      </c>
      <c r="F129" s="160">
        <v>43245</v>
      </c>
      <c r="G129" s="3">
        <v>0</v>
      </c>
      <c r="H129" s="2" t="s">
        <v>29</v>
      </c>
      <c r="I129" s="2" t="s">
        <v>562</v>
      </c>
      <c r="J129" s="3">
        <v>6</v>
      </c>
      <c r="K129" s="2" t="s">
        <v>96</v>
      </c>
      <c r="L129" s="2" t="s">
        <v>97</v>
      </c>
      <c r="AB129" t="str">
        <f t="shared" si="1"/>
        <v>Roshni Popat (01/09/2017 - 25/05/2018)</v>
      </c>
    </row>
    <row r="130" spans="1:29" x14ac:dyDescent="0.2">
      <c r="A130" s="3">
        <v>34</v>
      </c>
      <c r="B130" s="2" t="s">
        <v>102</v>
      </c>
      <c r="C130" s="3">
        <v>263</v>
      </c>
      <c r="D130" s="2" t="s">
        <v>380</v>
      </c>
      <c r="E130" s="160">
        <v>42248</v>
      </c>
      <c r="F130" s="160">
        <v>42991</v>
      </c>
      <c r="G130" s="3">
        <v>660</v>
      </c>
      <c r="H130" s="2" t="s">
        <v>29</v>
      </c>
      <c r="I130" s="2" t="s">
        <v>95</v>
      </c>
      <c r="J130" s="3">
        <v>10</v>
      </c>
      <c r="K130" s="2" t="s">
        <v>96</v>
      </c>
      <c r="L130" s="2" t="s">
        <v>97</v>
      </c>
      <c r="AB130" t="str">
        <f t="shared" si="1"/>
        <v>Miss Sandra Namataka &amp; Miss Leilah Nakamaanya (01/09/2015 - 13/09/2017)</v>
      </c>
    </row>
    <row r="131" spans="1:29" x14ac:dyDescent="0.2">
      <c r="A131" s="3">
        <v>34</v>
      </c>
      <c r="B131" s="2" t="s">
        <v>102</v>
      </c>
      <c r="C131" s="3">
        <v>259</v>
      </c>
      <c r="D131" s="2" t="s">
        <v>366</v>
      </c>
      <c r="E131" s="160">
        <v>41890</v>
      </c>
      <c r="F131" s="160">
        <v>42193</v>
      </c>
      <c r="G131" s="3">
        <v>620</v>
      </c>
      <c r="H131" s="2" t="s">
        <v>29</v>
      </c>
      <c r="I131" s="2" t="s">
        <v>95</v>
      </c>
      <c r="J131" s="3">
        <v>10</v>
      </c>
      <c r="K131" s="2" t="s">
        <v>96</v>
      </c>
      <c r="L131" s="2" t="s">
        <v>97</v>
      </c>
      <c r="M131" s="51"/>
      <c r="N131" s="51"/>
      <c r="O131" s="51"/>
      <c r="P131" s="51"/>
      <c r="Q131" s="51"/>
      <c r="R131" s="51"/>
      <c r="S131" s="51"/>
      <c r="T131" s="51"/>
      <c r="U131" s="51"/>
      <c r="V131" s="51"/>
      <c r="W131" s="51"/>
      <c r="X131" s="51"/>
      <c r="Y131" s="51"/>
      <c r="Z131" s="51"/>
      <c r="AA131" s="51"/>
      <c r="AB131" s="51" t="str">
        <f t="shared" ref="AB131:AB194" si="2">IF(E131&lt;&gt;"",IF(F131="",D131&amp;" ("&amp;TEXT(E131,"dd/mm/yyyy")&amp;" - present)",D131&amp;" ("&amp;TEXT(E131,"dd/mm/yyyy")&amp;" - "&amp;TEXT(F131,"dd/mm/yyyy")&amp;")"),"")</f>
        <v>Jade Parrett-Harris &amp; Robbyn McCarthy (08/09/2014 - 08/07/2015)</v>
      </c>
      <c r="AC131" s="51"/>
    </row>
    <row r="132" spans="1:29" x14ac:dyDescent="0.2">
      <c r="A132" s="3">
        <v>34</v>
      </c>
      <c r="B132" s="2" t="s">
        <v>102</v>
      </c>
      <c r="C132" s="3">
        <v>237</v>
      </c>
      <c r="D132" s="2" t="s">
        <v>351</v>
      </c>
      <c r="E132" s="160">
        <v>41487</v>
      </c>
      <c r="F132" s="160">
        <v>41790</v>
      </c>
      <c r="G132" s="3">
        <v>620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t="shared" si="2"/>
        <v>Meena Flora &amp; Chloe Fisher (01/08/2013 - 31/05/2014)</v>
      </c>
    </row>
    <row r="133" spans="1:29" x14ac:dyDescent="0.2">
      <c r="A133" s="3">
        <v>34</v>
      </c>
      <c r="B133" s="2" t="s">
        <v>102</v>
      </c>
      <c r="C133" s="3">
        <v>218</v>
      </c>
      <c r="D133" s="2" t="s">
        <v>336</v>
      </c>
      <c r="E133" s="160">
        <v>41122</v>
      </c>
      <c r="F133" s="160">
        <v>41425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t="shared" si="2"/>
        <v>Katie Nichols &amp; Sara Edwards (01/08/2012 - 31/05/2013)</v>
      </c>
    </row>
    <row r="134" spans="1:29" x14ac:dyDescent="0.2">
      <c r="A134" s="3">
        <v>34</v>
      </c>
      <c r="B134" s="2" t="s">
        <v>102</v>
      </c>
      <c r="C134" s="3">
        <v>204</v>
      </c>
      <c r="D134" s="2" t="s">
        <v>323</v>
      </c>
      <c r="E134" s="160">
        <v>40770</v>
      </c>
      <c r="F134" s="160">
        <v>41074</v>
      </c>
      <c r="G134" s="3">
        <v>595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t="shared" si="2"/>
        <v>Dipali Patel &amp; Meera Patel (15/08/2011 - 14/06/2012)</v>
      </c>
    </row>
    <row r="135" spans="1:29" x14ac:dyDescent="0.2">
      <c r="A135" s="3">
        <v>34</v>
      </c>
      <c r="B135" s="2" t="s">
        <v>102</v>
      </c>
      <c r="C135" s="3">
        <v>184</v>
      </c>
      <c r="D135" s="2" t="s">
        <v>304</v>
      </c>
      <c r="E135" s="160">
        <v>40458</v>
      </c>
      <c r="F135" s="160">
        <v>40731</v>
      </c>
      <c r="G135" s="3">
        <v>595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 t="str">
        <f t="shared" si="2"/>
        <v>Ru Jia (Nick) (07/10/2010 - 07/07/2011)</v>
      </c>
      <c r="AC135" s="51"/>
    </row>
    <row r="136" spans="1:29" x14ac:dyDescent="0.2">
      <c r="A136" s="3">
        <v>34</v>
      </c>
      <c r="B136" s="2" t="s">
        <v>102</v>
      </c>
      <c r="C136" s="3">
        <v>164</v>
      </c>
      <c r="D136" s="2" t="s">
        <v>282</v>
      </c>
      <c r="E136" s="160">
        <v>40151</v>
      </c>
      <c r="F136" s="160">
        <v>40454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t="shared" si="2"/>
        <v>Georgina Shepherd (04/12/2009 - 03/10/2010)</v>
      </c>
    </row>
    <row r="137" spans="1:29" x14ac:dyDescent="0.2">
      <c r="A137" s="3">
        <v>34</v>
      </c>
      <c r="B137" s="2" t="s">
        <v>102</v>
      </c>
      <c r="C137" s="3">
        <v>146</v>
      </c>
      <c r="D137" s="2" t="s">
        <v>264</v>
      </c>
      <c r="E137" s="160">
        <v>39816</v>
      </c>
      <c r="F137" s="160">
        <v>40149</v>
      </c>
      <c r="G137" s="3">
        <v>575</v>
      </c>
      <c r="H137" s="2" t="s">
        <v>29</v>
      </c>
      <c r="I137" s="2" t="s">
        <v>197</v>
      </c>
      <c r="J137" s="3">
        <v>0</v>
      </c>
      <c r="K137" s="2" t="s">
        <v>175</v>
      </c>
      <c r="L137" s="2" t="s">
        <v>101</v>
      </c>
      <c r="AB137" t="str">
        <f t="shared" si="2"/>
        <v>Marius Giulverzan &amp; Ann Tudor (03/01/2009 - 02/12/2009)</v>
      </c>
    </row>
    <row r="138" spans="1:29" x14ac:dyDescent="0.2">
      <c r="A138" s="3">
        <v>34</v>
      </c>
      <c r="B138" s="2" t="s">
        <v>102</v>
      </c>
      <c r="C138" s="3">
        <v>132</v>
      </c>
      <c r="D138" s="2" t="s">
        <v>250</v>
      </c>
      <c r="E138" s="160">
        <v>39602</v>
      </c>
      <c r="F138" s="160">
        <v>39815</v>
      </c>
      <c r="G138" s="3">
        <v>575</v>
      </c>
      <c r="H138" s="2" t="s">
        <v>29</v>
      </c>
      <c r="I138" s="2" t="s">
        <v>197</v>
      </c>
      <c r="J138" s="3">
        <v>0</v>
      </c>
      <c r="K138" s="2" t="s">
        <v>175</v>
      </c>
      <c r="L138" s="2" t="s">
        <v>101</v>
      </c>
      <c r="AB138" t="str">
        <f t="shared" si="2"/>
        <v>Adrian Mattei &amp; Elena Matei (03/06/2008 - 02/01/2009)</v>
      </c>
    </row>
    <row r="139" spans="1:29" x14ac:dyDescent="0.2">
      <c r="A139" s="3">
        <v>34</v>
      </c>
      <c r="B139" s="2" t="s">
        <v>102</v>
      </c>
      <c r="C139" s="3">
        <v>127</v>
      </c>
      <c r="D139" s="2" t="s">
        <v>39</v>
      </c>
      <c r="E139" s="160">
        <v>39517</v>
      </c>
      <c r="F139" s="160">
        <v>39532</v>
      </c>
      <c r="G139" s="3">
        <v>600</v>
      </c>
      <c r="H139" s="2" t="s">
        <v>29</v>
      </c>
      <c r="I139" s="2" t="s">
        <v>95</v>
      </c>
      <c r="J139" s="3">
        <v>10</v>
      </c>
      <c r="K139" s="2" t="s">
        <v>96</v>
      </c>
      <c r="L139" s="2" t="s">
        <v>97</v>
      </c>
      <c r="AB139" t="str">
        <f t="shared" si="2"/>
        <v>Urry (10/03/2008 - 25/03/2008)</v>
      </c>
    </row>
    <row r="140" spans="1:29" x14ac:dyDescent="0.2">
      <c r="A140" s="3">
        <v>34</v>
      </c>
      <c r="B140" s="2" t="s">
        <v>102</v>
      </c>
      <c r="C140" s="3">
        <v>80</v>
      </c>
      <c r="D140" s="2" t="s">
        <v>177</v>
      </c>
      <c r="E140" s="160">
        <v>38932</v>
      </c>
      <c r="F140" s="160">
        <v>39417</v>
      </c>
      <c r="G140" s="3">
        <v>550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97</v>
      </c>
      <c r="AB140" t="str">
        <f t="shared" si="2"/>
        <v>Diejomoah  (03/08/2006 - 01/12/2007)</v>
      </c>
    </row>
    <row r="141" spans="1:29" x14ac:dyDescent="0.2">
      <c r="A141" s="3">
        <v>34</v>
      </c>
      <c r="B141" s="2" t="s">
        <v>102</v>
      </c>
      <c r="C141" s="3">
        <v>44</v>
      </c>
      <c r="D141" s="2" t="s">
        <v>178</v>
      </c>
      <c r="E141" s="160">
        <v>38636</v>
      </c>
      <c r="F141" s="160">
        <v>38885</v>
      </c>
      <c r="G141" s="3">
        <v>595</v>
      </c>
      <c r="H141" s="2" t="s">
        <v>29</v>
      </c>
      <c r="I141" s="2" t="s">
        <v>100</v>
      </c>
      <c r="J141" s="3">
        <v>65</v>
      </c>
      <c r="K141" s="2" t="s">
        <v>175</v>
      </c>
      <c r="L141" s="2" t="s">
        <v>101</v>
      </c>
      <c r="AB141" t="str">
        <f t="shared" si="2"/>
        <v>Ampelas/Zachariou (11/10/2005 - 17/06/2006)</v>
      </c>
    </row>
    <row r="142" spans="1:29" x14ac:dyDescent="0.2">
      <c r="A142" s="3">
        <v>34</v>
      </c>
      <c r="B142" s="2" t="s">
        <v>102</v>
      </c>
      <c r="C142" s="3">
        <v>35</v>
      </c>
      <c r="D142" s="2" t="s">
        <v>179</v>
      </c>
      <c r="E142" s="160">
        <v>38507</v>
      </c>
      <c r="F142" s="160">
        <v>38625</v>
      </c>
      <c r="G142" s="3">
        <v>575</v>
      </c>
      <c r="H142" s="2" t="s">
        <v>29</v>
      </c>
      <c r="I142" s="2" t="s">
        <v>100</v>
      </c>
      <c r="J142" s="3">
        <v>65</v>
      </c>
      <c r="K142" s="2" t="s">
        <v>175</v>
      </c>
      <c r="L142" s="2" t="s">
        <v>101</v>
      </c>
      <c r="AB142" t="str">
        <f t="shared" si="2"/>
        <v xml:space="preserve"> Wells/Brooks (04/06/2005 - 30/09/2005)</v>
      </c>
    </row>
    <row r="143" spans="1:29" x14ac:dyDescent="0.2">
      <c r="A143" s="3">
        <v>20</v>
      </c>
      <c r="B143" s="2" t="s">
        <v>234</v>
      </c>
      <c r="C143" s="2"/>
      <c r="D143" s="2"/>
      <c r="E143" s="2"/>
      <c r="F143" s="2"/>
      <c r="G143" s="2"/>
      <c r="H143" s="2"/>
      <c r="I143" s="2"/>
      <c r="J143" s="2"/>
      <c r="K143" s="2"/>
      <c r="L143" s="2"/>
      <c r="AA143" s="2"/>
      <c r="AB143" t="str">
        <f t="shared" si="2"/>
        <v/>
      </c>
    </row>
    <row r="144" spans="1:29" x14ac:dyDescent="0.2">
      <c r="A144" s="3">
        <v>20</v>
      </c>
      <c r="B144" s="2" t="s">
        <v>139</v>
      </c>
      <c r="C144" s="2"/>
      <c r="D144" s="2"/>
      <c r="E144" s="2"/>
      <c r="F144" s="2"/>
      <c r="G144" s="2"/>
      <c r="H144" s="2"/>
      <c r="I144" s="2"/>
      <c r="J144" s="2"/>
      <c r="K144" s="2"/>
      <c r="L144" s="2"/>
      <c r="AB144" t="str">
        <f t="shared" si="2"/>
        <v/>
      </c>
    </row>
    <row r="145" spans="1:29" x14ac:dyDescent="0.2">
      <c r="A145" s="3">
        <v>31</v>
      </c>
      <c r="B145" s="2" t="s">
        <v>103</v>
      </c>
      <c r="C145" s="3">
        <v>837</v>
      </c>
      <c r="D145" s="2" t="s">
        <v>775</v>
      </c>
      <c r="E145" s="160">
        <v>44111</v>
      </c>
      <c r="F145" s="2"/>
      <c r="G145" s="3">
        <v>650</v>
      </c>
      <c r="H145" s="2" t="s">
        <v>29</v>
      </c>
      <c r="I145" s="2" t="s">
        <v>130</v>
      </c>
      <c r="J145" s="3">
        <v>0</v>
      </c>
      <c r="K145" s="2" t="s">
        <v>175</v>
      </c>
      <c r="L145" s="2" t="s">
        <v>101</v>
      </c>
      <c r="AB145" t="str">
        <f t="shared" si="2"/>
        <v>James Bottle (07/10/2020 - present)</v>
      </c>
    </row>
    <row r="146" spans="1:29" x14ac:dyDescent="0.2">
      <c r="A146" s="3">
        <v>31</v>
      </c>
      <c r="B146" s="2" t="s">
        <v>103</v>
      </c>
      <c r="C146" s="3">
        <v>813</v>
      </c>
      <c r="D146" s="2" t="s">
        <v>587</v>
      </c>
      <c r="E146" s="160">
        <v>43987</v>
      </c>
      <c r="F146" s="160">
        <v>44439</v>
      </c>
      <c r="G146" s="3">
        <v>625</v>
      </c>
      <c r="H146" s="2" t="s">
        <v>29</v>
      </c>
      <c r="I146" s="2" t="s">
        <v>130</v>
      </c>
      <c r="J146" s="3">
        <v>0</v>
      </c>
      <c r="K146" s="2" t="s">
        <v>175</v>
      </c>
      <c r="L146" s="2" t="s">
        <v>101</v>
      </c>
      <c r="AB146" t="str">
        <f t="shared" si="2"/>
        <v>Matthew Bruen (05/06/2020 - 31/08/2021)</v>
      </c>
    </row>
    <row r="147" spans="1:29" x14ac:dyDescent="0.2">
      <c r="A147" s="3">
        <v>31</v>
      </c>
      <c r="B147" s="2" t="s">
        <v>103</v>
      </c>
      <c r="C147" s="3">
        <v>278</v>
      </c>
      <c r="D147" s="2" t="s">
        <v>398</v>
      </c>
      <c r="E147" s="160">
        <v>42657</v>
      </c>
      <c r="F147" s="160">
        <v>43782</v>
      </c>
      <c r="G147" s="3">
        <v>505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t="shared" si="2"/>
        <v>Miss S Smith (14/10/2016 - 13/11/2019)</v>
      </c>
    </row>
    <row r="148" spans="1:29" x14ac:dyDescent="0.2">
      <c r="A148" s="3">
        <v>31</v>
      </c>
      <c r="B148" s="2" t="s">
        <v>103</v>
      </c>
      <c r="C148" s="3">
        <v>273</v>
      </c>
      <c r="D148" s="2" t="s">
        <v>385</v>
      </c>
      <c r="E148" s="160">
        <v>42474</v>
      </c>
      <c r="F148" s="160">
        <v>42657</v>
      </c>
      <c r="G148" s="3">
        <v>505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t="shared" si="2"/>
        <v>Ms H Daniels (14/04/2016 - 14/10/2016)</v>
      </c>
    </row>
    <row r="149" spans="1:29" x14ac:dyDescent="0.2">
      <c r="A149" s="3">
        <v>31</v>
      </c>
      <c r="B149" s="2" t="s">
        <v>103</v>
      </c>
      <c r="C149" s="3">
        <v>126</v>
      </c>
      <c r="D149" s="2" t="s">
        <v>221</v>
      </c>
      <c r="E149" s="160">
        <v>39524</v>
      </c>
      <c r="F149" s="160">
        <v>42460</v>
      </c>
      <c r="G149" s="3">
        <v>490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t="shared" si="2"/>
        <v>Parieira (17/03/2008 - 31/03/2016)</v>
      </c>
    </row>
    <row r="150" spans="1:29" x14ac:dyDescent="0.2">
      <c r="A150" s="3">
        <v>31</v>
      </c>
      <c r="B150" s="2" t="s">
        <v>103</v>
      </c>
      <c r="C150" s="3">
        <v>34</v>
      </c>
      <c r="D150" s="2" t="s">
        <v>167</v>
      </c>
      <c r="E150" s="160">
        <v>38668</v>
      </c>
      <c r="F150" s="160">
        <v>39507</v>
      </c>
      <c r="G150" s="3">
        <v>400</v>
      </c>
      <c r="H150" s="2" t="s">
        <v>29</v>
      </c>
      <c r="I150" s="2" t="s">
        <v>104</v>
      </c>
      <c r="J150" s="3">
        <v>10</v>
      </c>
      <c r="K150" s="2" t="s">
        <v>96</v>
      </c>
      <c r="L150" s="2" t="s">
        <v>97</v>
      </c>
      <c r="AB150" t="str">
        <f t="shared" si="2"/>
        <v>Nerantzoula Klelousi (12/11/2005 - 29/02/2008)</v>
      </c>
    </row>
    <row r="151" spans="1:29" x14ac:dyDescent="0.2">
      <c r="A151" s="3">
        <v>30</v>
      </c>
      <c r="B151" s="2" t="s">
        <v>66</v>
      </c>
      <c r="C151" s="3">
        <v>240</v>
      </c>
      <c r="D151" s="2" t="s">
        <v>354</v>
      </c>
      <c r="E151" s="160">
        <v>41586</v>
      </c>
      <c r="F151" s="2"/>
      <c r="G151" s="3">
        <v>500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t="shared" si="2"/>
        <v>Mr Hinks (08/11/2013 - present)</v>
      </c>
    </row>
    <row r="152" spans="1:29" x14ac:dyDescent="0.2">
      <c r="A152" s="3">
        <v>30</v>
      </c>
      <c r="B152" s="2" t="s">
        <v>66</v>
      </c>
      <c r="C152" s="3">
        <v>221</v>
      </c>
      <c r="D152" s="2" t="s">
        <v>340</v>
      </c>
      <c r="E152" s="160">
        <v>41331</v>
      </c>
      <c r="F152" s="160">
        <v>41546</v>
      </c>
      <c r="G152" s="3">
        <v>500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t="shared" si="2"/>
        <v>A Thomas (26/02/2013 - 29/09/2013)</v>
      </c>
    </row>
    <row r="153" spans="1:29" x14ac:dyDescent="0.2">
      <c r="A153" s="3">
        <v>30</v>
      </c>
      <c r="B153" s="2" t="s">
        <v>66</v>
      </c>
      <c r="C153" s="3">
        <v>173</v>
      </c>
      <c r="D153" s="2" t="s">
        <v>294</v>
      </c>
      <c r="E153" s="160">
        <v>40268</v>
      </c>
      <c r="F153" s="160">
        <v>41305</v>
      </c>
      <c r="G153" s="3">
        <v>480</v>
      </c>
      <c r="H153" s="2" t="s">
        <v>29</v>
      </c>
      <c r="I153" s="2" t="s">
        <v>95</v>
      </c>
      <c r="J153" s="3">
        <v>10</v>
      </c>
      <c r="K153" s="2" t="s">
        <v>96</v>
      </c>
      <c r="L153" s="2" t="s">
        <v>97</v>
      </c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3"/>
      <c r="AB153" s="51" t="str">
        <f t="shared" si="2"/>
        <v>Long &amp; Emptage (31/03/2010 - 31/01/2013)</v>
      </c>
      <c r="AC153" s="51"/>
    </row>
    <row r="154" spans="1:29" x14ac:dyDescent="0.2">
      <c r="A154" s="3">
        <v>30</v>
      </c>
      <c r="B154" s="2" t="s">
        <v>66</v>
      </c>
      <c r="C154" s="3">
        <v>163</v>
      </c>
      <c r="D154" s="2" t="s">
        <v>279</v>
      </c>
      <c r="E154" s="160">
        <v>40046</v>
      </c>
      <c r="F154" s="160">
        <v>40230</v>
      </c>
      <c r="G154" s="3">
        <v>510</v>
      </c>
      <c r="H154" s="2" t="s">
        <v>29</v>
      </c>
      <c r="I154" s="2" t="s">
        <v>95</v>
      </c>
      <c r="J154" s="3">
        <v>10</v>
      </c>
      <c r="K154" s="2" t="s">
        <v>96</v>
      </c>
      <c r="L154" s="2" t="s">
        <v>97</v>
      </c>
      <c r="AA154" s="2"/>
      <c r="AB154" t="str">
        <f t="shared" si="2"/>
        <v>Arrabbetou (21/08/2009 - 21/02/2010)</v>
      </c>
    </row>
    <row r="155" spans="1:29" x14ac:dyDescent="0.2">
      <c r="A155" s="3">
        <v>30</v>
      </c>
      <c r="B155" s="2" t="s">
        <v>66</v>
      </c>
      <c r="C155" s="3">
        <v>134</v>
      </c>
      <c r="D155" s="2" t="s">
        <v>251</v>
      </c>
      <c r="E155" s="160">
        <v>39556</v>
      </c>
      <c r="F155" s="160">
        <v>40024</v>
      </c>
      <c r="G155" s="3">
        <v>520</v>
      </c>
      <c r="H155" s="2" t="s">
        <v>29</v>
      </c>
      <c r="I155" s="2" t="s">
        <v>95</v>
      </c>
      <c r="J155" s="3">
        <v>10</v>
      </c>
      <c r="K155" s="2" t="s">
        <v>96</v>
      </c>
      <c r="L155" s="2" t="s">
        <v>97</v>
      </c>
      <c r="AB155" t="str">
        <f t="shared" si="2"/>
        <v>Mr D Moore (18/04/2008 - 30/07/2009)</v>
      </c>
    </row>
    <row r="156" spans="1:29" x14ac:dyDescent="0.2">
      <c r="A156" s="3">
        <v>30</v>
      </c>
      <c r="B156" s="2" t="s">
        <v>66</v>
      </c>
      <c r="C156" s="3">
        <v>90</v>
      </c>
      <c r="D156" s="2" t="s">
        <v>151</v>
      </c>
      <c r="E156" s="160">
        <v>39054</v>
      </c>
      <c r="F156" s="160">
        <v>39538</v>
      </c>
      <c r="G156" s="3">
        <v>480</v>
      </c>
      <c r="H156" s="2" t="s">
        <v>29</v>
      </c>
      <c r="I156" s="2" t="s">
        <v>95</v>
      </c>
      <c r="J156" s="3">
        <v>10</v>
      </c>
      <c r="K156" s="2" t="s">
        <v>96</v>
      </c>
      <c r="L156" s="2" t="s">
        <v>97</v>
      </c>
      <c r="AB156" t="str">
        <f t="shared" si="2"/>
        <v>Thompson (03/12/2006 - 31/03/2008)</v>
      </c>
    </row>
    <row r="157" spans="1:29" x14ac:dyDescent="0.2">
      <c r="A157" s="3">
        <v>30</v>
      </c>
      <c r="B157" s="2" t="s">
        <v>66</v>
      </c>
      <c r="C157" s="3">
        <v>63</v>
      </c>
      <c r="D157" s="2" t="s">
        <v>168</v>
      </c>
      <c r="E157" s="160">
        <v>38863</v>
      </c>
      <c r="F157" s="160">
        <v>39046</v>
      </c>
      <c r="G157" s="3">
        <v>470</v>
      </c>
      <c r="H157" s="2" t="s">
        <v>29</v>
      </c>
      <c r="I157" s="2" t="s">
        <v>104</v>
      </c>
      <c r="J157" s="3">
        <v>10</v>
      </c>
      <c r="K157" s="2" t="s">
        <v>96</v>
      </c>
      <c r="L157" s="2" t="s">
        <v>97</v>
      </c>
      <c r="AB157" t="str">
        <f t="shared" si="2"/>
        <v>Tuckley (26/05/2006 - 25/11/2006)</v>
      </c>
    </row>
    <row r="158" spans="1:29" x14ac:dyDescent="0.2">
      <c r="A158" s="3">
        <v>30</v>
      </c>
      <c r="B158" s="2" t="s">
        <v>66</v>
      </c>
      <c r="C158" s="3">
        <v>41</v>
      </c>
      <c r="D158" s="2" t="s">
        <v>169</v>
      </c>
      <c r="E158" s="160">
        <v>38506</v>
      </c>
      <c r="F158" s="160">
        <v>38688</v>
      </c>
      <c r="G158" s="3">
        <v>500</v>
      </c>
      <c r="H158" s="2" t="s">
        <v>29</v>
      </c>
      <c r="I158" s="2" t="s">
        <v>104</v>
      </c>
      <c r="J158" s="3">
        <v>10</v>
      </c>
      <c r="K158" s="2" t="s">
        <v>96</v>
      </c>
      <c r="L158" s="2" t="s">
        <v>97</v>
      </c>
      <c r="AA158" s="2"/>
      <c r="AB158" t="str">
        <f t="shared" si="2"/>
        <v xml:space="preserve"> Hickman (03/06/2005 - 02/12/2005)</v>
      </c>
    </row>
    <row r="159" spans="1:29" x14ac:dyDescent="0.2">
      <c r="A159" s="3">
        <v>33</v>
      </c>
      <c r="B159" s="2" t="s">
        <v>105</v>
      </c>
      <c r="C159" s="3">
        <v>769</v>
      </c>
      <c r="D159" s="2" t="s">
        <v>588</v>
      </c>
      <c r="E159" s="160">
        <v>43220</v>
      </c>
      <c r="F159" s="2"/>
      <c r="G159" s="3">
        <v>500</v>
      </c>
      <c r="H159" s="2" t="s">
        <v>29</v>
      </c>
      <c r="I159" s="2" t="s">
        <v>562</v>
      </c>
      <c r="J159" s="3">
        <v>6</v>
      </c>
      <c r="K159" s="2" t="s">
        <v>96</v>
      </c>
      <c r="L159" s="2" t="s">
        <v>97</v>
      </c>
      <c r="AB159" t="str">
        <f t="shared" si="2"/>
        <v>Andrew Austin (30/04/2018 - present)</v>
      </c>
    </row>
    <row r="160" spans="1:29" x14ac:dyDescent="0.2">
      <c r="A160" s="3">
        <v>33</v>
      </c>
      <c r="B160" s="2" t="s">
        <v>105</v>
      </c>
      <c r="C160" s="3">
        <v>747</v>
      </c>
      <c r="D160" s="2" t="s">
        <v>589</v>
      </c>
      <c r="E160" s="160">
        <v>42709</v>
      </c>
      <c r="F160" s="160">
        <v>42982</v>
      </c>
      <c r="G160" s="3">
        <v>505</v>
      </c>
      <c r="H160" s="2" t="s">
        <v>29</v>
      </c>
      <c r="I160" s="2" t="s">
        <v>562</v>
      </c>
      <c r="J160" s="3">
        <v>6</v>
      </c>
      <c r="K160" s="2" t="s">
        <v>96</v>
      </c>
      <c r="L160" s="2" t="s">
        <v>97</v>
      </c>
      <c r="AB160" t="str">
        <f t="shared" si="2"/>
        <v>Francis Brooker (05/12/2016 - 04/09/2017)</v>
      </c>
    </row>
    <row r="161" spans="1:28" x14ac:dyDescent="0.2">
      <c r="A161" s="3">
        <v>33</v>
      </c>
      <c r="B161" s="2" t="s">
        <v>105</v>
      </c>
      <c r="C161" s="3">
        <v>178</v>
      </c>
      <c r="D161" s="2" t="s">
        <v>296</v>
      </c>
      <c r="E161" s="160">
        <v>40334</v>
      </c>
      <c r="F161" s="160">
        <v>42560</v>
      </c>
      <c r="G161" s="3">
        <v>425</v>
      </c>
      <c r="H161" s="2" t="s">
        <v>29</v>
      </c>
      <c r="I161" s="2" t="s">
        <v>197</v>
      </c>
      <c r="J161" s="3">
        <v>0</v>
      </c>
      <c r="K161" s="2" t="s">
        <v>175</v>
      </c>
      <c r="L161" s="2" t="s">
        <v>101</v>
      </c>
      <c r="AB161" t="str">
        <f t="shared" si="2"/>
        <v>Oyibo Nwosu (05/06/2010 - 09/07/2016)</v>
      </c>
    </row>
    <row r="162" spans="1:28" x14ac:dyDescent="0.2">
      <c r="A162" s="3">
        <v>33</v>
      </c>
      <c r="B162" s="2" t="s">
        <v>105</v>
      </c>
      <c r="C162" s="3">
        <v>149</v>
      </c>
      <c r="D162" s="2" t="s">
        <v>266</v>
      </c>
      <c r="E162" s="160">
        <v>39843</v>
      </c>
      <c r="F162" s="160">
        <v>40327</v>
      </c>
      <c r="G162" s="3">
        <v>410</v>
      </c>
      <c r="H162" s="2" t="s">
        <v>29</v>
      </c>
      <c r="I162" s="2" t="s">
        <v>197</v>
      </c>
      <c r="J162" s="3">
        <v>0</v>
      </c>
      <c r="K162" s="2" t="s">
        <v>175</v>
      </c>
      <c r="L162" s="2" t="s">
        <v>101</v>
      </c>
      <c r="AA162" s="2"/>
      <c r="AB162" t="str">
        <f t="shared" si="2"/>
        <v>Eugene De Beer (30/01/2009 - 29/05/2010)</v>
      </c>
    </row>
    <row r="163" spans="1:28" x14ac:dyDescent="0.2">
      <c r="A163" s="3">
        <v>33</v>
      </c>
      <c r="B163" s="2" t="s">
        <v>105</v>
      </c>
      <c r="C163" s="3">
        <v>107</v>
      </c>
      <c r="D163" s="2" t="s">
        <v>222</v>
      </c>
      <c r="E163" s="160">
        <v>39286</v>
      </c>
      <c r="F163" s="160">
        <v>39809</v>
      </c>
      <c r="G163" s="3">
        <v>400</v>
      </c>
      <c r="H163" s="2" t="s">
        <v>29</v>
      </c>
      <c r="I163" s="2" t="s">
        <v>197</v>
      </c>
      <c r="J163" s="3">
        <v>0</v>
      </c>
      <c r="K163" s="2" t="s">
        <v>175</v>
      </c>
      <c r="L163" s="2" t="s">
        <v>101</v>
      </c>
      <c r="AB163" t="str">
        <f t="shared" si="2"/>
        <v>Miss Rita Palmieri (23/07/2007 - 27/12/2008)</v>
      </c>
    </row>
    <row r="164" spans="1:28" x14ac:dyDescent="0.2">
      <c r="A164" s="3">
        <v>33</v>
      </c>
      <c r="B164" s="2" t="s">
        <v>105</v>
      </c>
      <c r="C164" s="3">
        <v>50</v>
      </c>
      <c r="D164" s="2" t="s">
        <v>172</v>
      </c>
      <c r="E164" s="160">
        <v>38631</v>
      </c>
      <c r="F164" s="160">
        <v>39268</v>
      </c>
      <c r="G164" s="3">
        <v>400</v>
      </c>
      <c r="H164" s="2" t="s">
        <v>29</v>
      </c>
      <c r="I164" s="2" t="s">
        <v>104</v>
      </c>
      <c r="J164" s="3">
        <v>10</v>
      </c>
      <c r="K164" s="2" t="s">
        <v>96</v>
      </c>
      <c r="L164" s="2" t="s">
        <v>97</v>
      </c>
      <c r="AB164" t="str">
        <f t="shared" si="2"/>
        <v>Hill/Gerard/Hlyton (06/10/2005 - 05/07/2007)</v>
      </c>
    </row>
    <row r="165" spans="1:28" x14ac:dyDescent="0.2">
      <c r="A165" s="3">
        <v>32</v>
      </c>
      <c r="B165" s="2" t="s">
        <v>106</v>
      </c>
      <c r="C165" s="3">
        <v>841</v>
      </c>
      <c r="D165" s="2" t="s">
        <v>776</v>
      </c>
      <c r="E165" s="160">
        <v>44316</v>
      </c>
      <c r="F165" s="2"/>
      <c r="G165" s="3">
        <v>675</v>
      </c>
      <c r="H165" s="2" t="s">
        <v>29</v>
      </c>
      <c r="I165" s="2" t="s">
        <v>130</v>
      </c>
      <c r="J165" s="3">
        <v>0</v>
      </c>
      <c r="K165" s="2" t="s">
        <v>175</v>
      </c>
      <c r="L165" s="2" t="s">
        <v>101</v>
      </c>
      <c r="AB165" t="str">
        <f t="shared" si="2"/>
        <v>Zofia Furczyk (30/04/2021 - present)</v>
      </c>
    </row>
    <row r="166" spans="1:28" x14ac:dyDescent="0.2">
      <c r="A166" s="3">
        <v>32</v>
      </c>
      <c r="B166" s="2" t="s">
        <v>106</v>
      </c>
      <c r="C166" s="3">
        <v>807</v>
      </c>
      <c r="D166" s="2" t="s">
        <v>590</v>
      </c>
      <c r="E166" s="160">
        <v>43809</v>
      </c>
      <c r="F166" s="160">
        <v>44269</v>
      </c>
      <c r="G166" s="3">
        <v>640</v>
      </c>
      <c r="H166" s="2" t="s">
        <v>29</v>
      </c>
      <c r="I166" s="2" t="s">
        <v>130</v>
      </c>
      <c r="J166" s="3">
        <v>0</v>
      </c>
      <c r="K166" s="2" t="s">
        <v>175</v>
      </c>
      <c r="L166" s="2" t="s">
        <v>101</v>
      </c>
      <c r="AA166" s="2"/>
      <c r="AB166" t="str">
        <f t="shared" si="2"/>
        <v>Jade Hughes (10/12/2019 - 14/03/2021)</v>
      </c>
    </row>
    <row r="167" spans="1:28" x14ac:dyDescent="0.2">
      <c r="A167" s="3">
        <v>32</v>
      </c>
      <c r="B167" s="2" t="s">
        <v>106</v>
      </c>
      <c r="C167" s="3">
        <v>261</v>
      </c>
      <c r="D167" s="2" t="s">
        <v>375</v>
      </c>
      <c r="E167" s="160">
        <v>42242</v>
      </c>
      <c r="F167" s="160">
        <v>43763</v>
      </c>
      <c r="G167" s="3">
        <v>505</v>
      </c>
      <c r="H167" s="2" t="s">
        <v>29</v>
      </c>
      <c r="I167" s="2" t="s">
        <v>95</v>
      </c>
      <c r="J167" s="3">
        <v>10</v>
      </c>
      <c r="K167" s="2" t="s">
        <v>96</v>
      </c>
      <c r="L167" s="2" t="s">
        <v>97</v>
      </c>
      <c r="AB167" t="str">
        <f t="shared" si="2"/>
        <v>Ms Pegg (26/08/2015 - 25/10/2019)</v>
      </c>
    </row>
    <row r="168" spans="1:28" x14ac:dyDescent="0.2">
      <c r="A168" s="3">
        <v>32</v>
      </c>
      <c r="B168" s="2" t="s">
        <v>106</v>
      </c>
      <c r="C168" s="3">
        <v>260</v>
      </c>
      <c r="D168" s="2" t="s">
        <v>376</v>
      </c>
      <c r="E168" s="160">
        <v>42205</v>
      </c>
      <c r="F168" s="160">
        <v>42236</v>
      </c>
      <c r="G168" s="3">
        <v>505</v>
      </c>
      <c r="H168" s="2" t="s">
        <v>29</v>
      </c>
      <c r="I168" s="2" t="s">
        <v>95</v>
      </c>
      <c r="J168" s="3">
        <v>10</v>
      </c>
      <c r="K168" s="2" t="s">
        <v>96</v>
      </c>
      <c r="L168" s="2" t="s">
        <v>97</v>
      </c>
      <c r="AA168" s="2"/>
      <c r="AB168" t="str">
        <f t="shared" si="2"/>
        <v>Mr Hussain (20/07/2015 - 20/08/2015)</v>
      </c>
    </row>
    <row r="169" spans="1:28" x14ac:dyDescent="0.2">
      <c r="A169" s="3">
        <v>32</v>
      </c>
      <c r="B169" s="2" t="s">
        <v>106</v>
      </c>
      <c r="C169" s="3">
        <v>222</v>
      </c>
      <c r="D169" s="2" t="s">
        <v>341</v>
      </c>
      <c r="E169" s="160">
        <v>41311</v>
      </c>
      <c r="F169" s="160">
        <v>42161</v>
      </c>
      <c r="G169" s="3">
        <v>500</v>
      </c>
      <c r="H169" s="2" t="s">
        <v>29</v>
      </c>
      <c r="I169" s="2" t="s">
        <v>95</v>
      </c>
      <c r="J169" s="3">
        <v>10</v>
      </c>
      <c r="K169" s="2" t="s">
        <v>96</v>
      </c>
      <c r="L169" s="2" t="s">
        <v>97</v>
      </c>
      <c r="AB169" t="str">
        <f t="shared" si="2"/>
        <v>Restall &amp; Byng (06/02/2013 - 06/06/2015)</v>
      </c>
    </row>
    <row r="170" spans="1:28" x14ac:dyDescent="0.2">
      <c r="A170" s="3">
        <v>32</v>
      </c>
      <c r="B170" s="2" t="s">
        <v>106</v>
      </c>
      <c r="C170" s="3">
        <v>169</v>
      </c>
      <c r="D170" s="2" t="s">
        <v>287</v>
      </c>
      <c r="E170" s="160">
        <v>40240</v>
      </c>
      <c r="F170" s="160">
        <v>41305</v>
      </c>
      <c r="G170" s="3">
        <v>495</v>
      </c>
      <c r="H170" s="2" t="s">
        <v>29</v>
      </c>
      <c r="I170" s="2" t="s">
        <v>95</v>
      </c>
      <c r="J170" s="3">
        <v>10</v>
      </c>
      <c r="K170" s="2" t="s">
        <v>96</v>
      </c>
      <c r="L170" s="2" t="s">
        <v>97</v>
      </c>
      <c r="AB170" t="str">
        <f t="shared" si="2"/>
        <v>Lewis Cranston (03/03/2010 - 31/01/2013)</v>
      </c>
    </row>
    <row r="171" spans="1:28" x14ac:dyDescent="0.2">
      <c r="A171" s="3">
        <v>32</v>
      </c>
      <c r="B171" s="2" t="s">
        <v>106</v>
      </c>
      <c r="C171" s="3">
        <v>133</v>
      </c>
      <c r="D171" s="2" t="s">
        <v>252</v>
      </c>
      <c r="E171" s="160">
        <v>39592</v>
      </c>
      <c r="F171" s="160">
        <v>40140</v>
      </c>
      <c r="G171" s="3">
        <v>495</v>
      </c>
      <c r="H171" s="2" t="s">
        <v>29</v>
      </c>
      <c r="I171" s="2" t="s">
        <v>197</v>
      </c>
      <c r="J171" s="3">
        <v>0</v>
      </c>
      <c r="K171" s="2" t="s">
        <v>175</v>
      </c>
      <c r="L171" s="2" t="s">
        <v>101</v>
      </c>
      <c r="AB171" t="str">
        <f t="shared" si="2"/>
        <v>Anna Schubert &amp; Maciej Schubert (24/05/2008 - 23/11/2009)</v>
      </c>
    </row>
    <row r="172" spans="1:28" x14ac:dyDescent="0.2">
      <c r="A172" s="3">
        <v>32</v>
      </c>
      <c r="B172" s="2" t="s">
        <v>106</v>
      </c>
      <c r="C172" s="3">
        <v>42</v>
      </c>
      <c r="D172" s="2" t="s">
        <v>223</v>
      </c>
      <c r="E172" s="160">
        <v>38534</v>
      </c>
      <c r="F172" s="160">
        <v>39568</v>
      </c>
      <c r="G172" s="3">
        <v>495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t="shared" si="2"/>
        <v>Mr Taylor/Miss Clark (01/07/2005 - 30/04/2008)</v>
      </c>
    </row>
    <row r="173" spans="1:28" x14ac:dyDescent="0.2">
      <c r="A173" s="3">
        <v>26</v>
      </c>
      <c r="B173" s="2" t="s">
        <v>224</v>
      </c>
      <c r="C173" s="3">
        <v>816</v>
      </c>
      <c r="D173" s="2" t="s">
        <v>591</v>
      </c>
      <c r="E173" s="160">
        <v>44011</v>
      </c>
      <c r="F173" s="2"/>
      <c r="G173" s="3">
        <v>650</v>
      </c>
      <c r="H173" s="2" t="s">
        <v>29</v>
      </c>
      <c r="I173" s="2" t="s">
        <v>130</v>
      </c>
      <c r="J173" s="3">
        <v>0</v>
      </c>
      <c r="K173" s="2" t="s">
        <v>175</v>
      </c>
      <c r="L173" s="2" t="s">
        <v>101</v>
      </c>
      <c r="AB173" t="str">
        <f t="shared" si="2"/>
        <v>Sophie Bedford (29/06/2020 - present)</v>
      </c>
    </row>
    <row r="174" spans="1:28" x14ac:dyDescent="0.2">
      <c r="A174" s="3">
        <v>26</v>
      </c>
      <c r="B174" s="2" t="s">
        <v>224</v>
      </c>
      <c r="C174" s="3">
        <v>802</v>
      </c>
      <c r="D174" s="2" t="s">
        <v>592</v>
      </c>
      <c r="E174" s="160">
        <v>43769</v>
      </c>
      <c r="F174" s="160">
        <v>44012</v>
      </c>
      <c r="G174" s="3">
        <v>675</v>
      </c>
      <c r="H174" s="2" t="s">
        <v>29</v>
      </c>
      <c r="I174" s="2" t="s">
        <v>130</v>
      </c>
      <c r="J174" s="3">
        <v>0</v>
      </c>
      <c r="K174" s="2" t="s">
        <v>175</v>
      </c>
      <c r="L174" s="2" t="s">
        <v>101</v>
      </c>
      <c r="AB174" t="str">
        <f t="shared" si="2"/>
        <v>Robert Baird (31/10/2019 - 30/06/2020)</v>
      </c>
    </row>
    <row r="175" spans="1:28" x14ac:dyDescent="0.2">
      <c r="A175" s="3">
        <v>26</v>
      </c>
      <c r="B175" s="2" t="s">
        <v>224</v>
      </c>
      <c r="C175" s="3">
        <v>782</v>
      </c>
      <c r="D175" s="2" t="s">
        <v>563</v>
      </c>
      <c r="E175" s="160">
        <v>43552</v>
      </c>
      <c r="F175" s="160">
        <v>43704</v>
      </c>
      <c r="G175" s="3">
        <v>0</v>
      </c>
      <c r="H175" s="2" t="s">
        <v>29</v>
      </c>
      <c r="I175" s="2" t="s">
        <v>562</v>
      </c>
      <c r="J175" s="3">
        <v>6</v>
      </c>
      <c r="K175" s="2" t="s">
        <v>96</v>
      </c>
      <c r="L175" s="2" t="s">
        <v>97</v>
      </c>
      <c r="AB175" t="str">
        <f t="shared" si="2"/>
        <v>Maja Zuzanna Olczak (28/03/2019 - 27/08/2019)</v>
      </c>
    </row>
    <row r="176" spans="1:28" x14ac:dyDescent="0.2">
      <c r="A176" s="3">
        <v>26</v>
      </c>
      <c r="B176" s="2" t="s">
        <v>224</v>
      </c>
      <c r="C176" s="3">
        <v>250</v>
      </c>
      <c r="D176" s="2" t="s">
        <v>369</v>
      </c>
      <c r="E176" s="160">
        <v>42104</v>
      </c>
      <c r="F176" s="160">
        <v>43474</v>
      </c>
      <c r="G176" s="3">
        <v>515</v>
      </c>
      <c r="H176" s="2" t="s">
        <v>29</v>
      </c>
      <c r="I176" s="2" t="s">
        <v>95</v>
      </c>
      <c r="J176" s="3">
        <v>10</v>
      </c>
      <c r="K176" s="2" t="s">
        <v>96</v>
      </c>
      <c r="L176" s="2" t="s">
        <v>97</v>
      </c>
      <c r="AB176" t="str">
        <f t="shared" si="2"/>
        <v>J Hill (10/04/2015 - 09/01/2019)</v>
      </c>
    </row>
    <row r="177" spans="1:28" x14ac:dyDescent="0.2">
      <c r="A177" s="3">
        <v>26</v>
      </c>
      <c r="B177" s="2" t="s">
        <v>224</v>
      </c>
      <c r="C177" s="3">
        <v>217</v>
      </c>
      <c r="D177" s="2" t="s">
        <v>335</v>
      </c>
      <c r="E177" s="160">
        <v>41103</v>
      </c>
      <c r="F177" s="160">
        <v>42070</v>
      </c>
      <c r="G177" s="3">
        <v>475</v>
      </c>
      <c r="H177" s="2" t="s">
        <v>29</v>
      </c>
      <c r="I177" s="2" t="s">
        <v>197</v>
      </c>
      <c r="J177" s="3">
        <v>0</v>
      </c>
      <c r="K177" s="2" t="s">
        <v>175</v>
      </c>
      <c r="L177" s="2" t="s">
        <v>101</v>
      </c>
      <c r="AB177" t="str">
        <f t="shared" si="2"/>
        <v>Basam Yacoub (13/07/2012 - 07/03/2015)</v>
      </c>
    </row>
    <row r="178" spans="1:28" x14ac:dyDescent="0.2">
      <c r="A178" s="3">
        <v>26</v>
      </c>
      <c r="B178" s="2" t="s">
        <v>224</v>
      </c>
      <c r="C178" s="3">
        <v>205</v>
      </c>
      <c r="D178" s="2" t="s">
        <v>324</v>
      </c>
      <c r="E178" s="160">
        <v>40763</v>
      </c>
      <c r="F178" s="160">
        <v>41072</v>
      </c>
      <c r="G178" s="3">
        <v>460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t="shared" si="2"/>
        <v>Oliver Williams &amp; Lisa Pearce (08/08/2011 - 12/06/2012)</v>
      </c>
    </row>
    <row r="179" spans="1:28" x14ac:dyDescent="0.2">
      <c r="A179" s="3">
        <v>26</v>
      </c>
      <c r="B179" s="2" t="s">
        <v>224</v>
      </c>
      <c r="C179" s="3">
        <v>183</v>
      </c>
      <c r="D179" s="2" t="s">
        <v>305</v>
      </c>
      <c r="E179" s="160">
        <v>40439</v>
      </c>
      <c r="F179" s="160">
        <v>40636</v>
      </c>
      <c r="G179" s="3">
        <v>460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t="shared" si="2"/>
        <v>Olivia Chaffe (18/09/2010 - 03/04/2011)</v>
      </c>
    </row>
    <row r="180" spans="1:28" x14ac:dyDescent="0.2">
      <c r="A180" s="3">
        <v>26</v>
      </c>
      <c r="B180" s="2" t="s">
        <v>224</v>
      </c>
      <c r="C180" s="3">
        <v>147</v>
      </c>
      <c r="D180" s="2" t="s">
        <v>263</v>
      </c>
      <c r="E180" s="160">
        <v>39779</v>
      </c>
      <c r="F180" s="160">
        <v>40386</v>
      </c>
      <c r="G180" s="3">
        <v>450</v>
      </c>
      <c r="H180" s="2" t="s">
        <v>29</v>
      </c>
      <c r="I180" s="2" t="s">
        <v>197</v>
      </c>
      <c r="J180" s="3">
        <v>0</v>
      </c>
      <c r="K180" s="2" t="s">
        <v>175</v>
      </c>
      <c r="L180" s="2" t="s">
        <v>101</v>
      </c>
      <c r="AB180" t="str">
        <f t="shared" si="2"/>
        <v>Wanchai Sribang (27/11/2008 - 27/07/2010)</v>
      </c>
    </row>
    <row r="181" spans="1:28" x14ac:dyDescent="0.2">
      <c r="A181" s="3">
        <v>26</v>
      </c>
      <c r="B181" s="2" t="s">
        <v>224</v>
      </c>
      <c r="C181" s="3">
        <v>125</v>
      </c>
      <c r="D181" s="2" t="s">
        <v>225</v>
      </c>
      <c r="E181" s="160">
        <v>39193</v>
      </c>
      <c r="F181" s="160">
        <v>39745</v>
      </c>
      <c r="G181" s="3">
        <v>400</v>
      </c>
      <c r="H181" s="2" t="s">
        <v>29</v>
      </c>
      <c r="I181" s="2" t="s">
        <v>197</v>
      </c>
      <c r="J181" s="3">
        <v>0</v>
      </c>
      <c r="K181" s="2" t="s">
        <v>175</v>
      </c>
      <c r="L181" s="2" t="s">
        <v>101</v>
      </c>
      <c r="AB181" t="str">
        <f t="shared" si="2"/>
        <v>Mr S Webster (21/04/2007 - 24/10/2008)</v>
      </c>
    </row>
    <row r="182" spans="1:28" x14ac:dyDescent="0.2">
      <c r="A182" s="3">
        <v>22</v>
      </c>
      <c r="B182" s="2" t="s">
        <v>226</v>
      </c>
      <c r="C182" s="3">
        <v>814</v>
      </c>
      <c r="D182" s="2" t="s">
        <v>593</v>
      </c>
      <c r="E182" s="160">
        <v>43994</v>
      </c>
      <c r="F182" s="2"/>
      <c r="G182" s="3">
        <v>600</v>
      </c>
      <c r="H182" s="2" t="s">
        <v>29</v>
      </c>
      <c r="I182" s="2" t="s">
        <v>130</v>
      </c>
      <c r="J182" s="3">
        <v>0</v>
      </c>
      <c r="K182" s="2" t="s">
        <v>175</v>
      </c>
      <c r="L182" s="2" t="s">
        <v>101</v>
      </c>
      <c r="AB182" t="str">
        <f t="shared" si="2"/>
        <v>Katherine Parson (12/06/2020 - present)</v>
      </c>
    </row>
    <row r="183" spans="1:28" x14ac:dyDescent="0.2">
      <c r="A183" s="3">
        <v>22</v>
      </c>
      <c r="B183" s="2" t="s">
        <v>226</v>
      </c>
      <c r="C183" s="3">
        <v>155</v>
      </c>
      <c r="D183" s="2" t="s">
        <v>273</v>
      </c>
      <c r="E183" s="160">
        <v>39990</v>
      </c>
      <c r="F183" s="160">
        <v>43837</v>
      </c>
      <c r="G183" s="3">
        <v>500</v>
      </c>
      <c r="H183" s="2" t="s">
        <v>29</v>
      </c>
      <c r="I183" s="2" t="s">
        <v>95</v>
      </c>
      <c r="J183" s="3">
        <v>10</v>
      </c>
      <c r="K183" s="2" t="s">
        <v>96</v>
      </c>
      <c r="L183" s="2" t="s">
        <v>97</v>
      </c>
      <c r="AB183" t="str">
        <f t="shared" si="2"/>
        <v>Dionne McLaughlin (26/06/2009 - 07/01/2020)</v>
      </c>
    </row>
    <row r="184" spans="1:28" x14ac:dyDescent="0.2">
      <c r="A184" s="3">
        <v>22</v>
      </c>
      <c r="B184" s="2" t="s">
        <v>226</v>
      </c>
      <c r="C184" s="3">
        <v>131</v>
      </c>
      <c r="D184" s="2" t="s">
        <v>253</v>
      </c>
      <c r="E184" s="160">
        <v>39626</v>
      </c>
      <c r="F184" s="160">
        <v>39903</v>
      </c>
      <c r="G184" s="3">
        <v>425</v>
      </c>
      <c r="H184" s="2" t="s">
        <v>29</v>
      </c>
      <c r="I184" s="2" t="s">
        <v>197</v>
      </c>
      <c r="J184" s="3">
        <v>0</v>
      </c>
      <c r="K184" s="2" t="s">
        <v>175</v>
      </c>
      <c r="L184" s="2" t="s">
        <v>101</v>
      </c>
      <c r="AA184" s="2"/>
      <c r="AB184" t="str">
        <f t="shared" si="2"/>
        <v>Mr Arkadiusz Slowinski &amp; Miss Ewelina Skladanowska (27/06/2008 - 31/03/2009)</v>
      </c>
    </row>
    <row r="185" spans="1:28" x14ac:dyDescent="0.2">
      <c r="A185" s="3">
        <v>22</v>
      </c>
      <c r="B185" s="2" t="s">
        <v>226</v>
      </c>
      <c r="C185" s="3">
        <v>122</v>
      </c>
      <c r="D185" s="2" t="s">
        <v>199</v>
      </c>
      <c r="E185" s="160">
        <v>39508</v>
      </c>
      <c r="F185" s="160">
        <v>39586</v>
      </c>
      <c r="G185" s="3">
        <v>400</v>
      </c>
      <c r="H185" s="2" t="s">
        <v>29</v>
      </c>
      <c r="I185" s="2" t="s">
        <v>197</v>
      </c>
      <c r="J185" s="3">
        <v>0</v>
      </c>
      <c r="K185" s="2" t="s">
        <v>175</v>
      </c>
      <c r="L185" s="2" t="s">
        <v>101</v>
      </c>
      <c r="AB185" t="str">
        <f t="shared" si="2"/>
        <v>Hannah Woodhouse (01/03/2008 - 18/05/2008)</v>
      </c>
    </row>
    <row r="186" spans="1:28" x14ac:dyDescent="0.2">
      <c r="A186" s="3">
        <v>21</v>
      </c>
      <c r="B186" s="2" t="s">
        <v>227</v>
      </c>
      <c r="C186" s="3">
        <v>787</v>
      </c>
      <c r="D186" s="2" t="s">
        <v>594</v>
      </c>
      <c r="E186" s="160">
        <v>43645</v>
      </c>
      <c r="F186" s="2"/>
      <c r="G186" s="3">
        <v>700</v>
      </c>
      <c r="H186" s="2" t="s">
        <v>29</v>
      </c>
      <c r="I186" s="2" t="s">
        <v>130</v>
      </c>
      <c r="J186" s="3">
        <v>0</v>
      </c>
      <c r="K186" s="2" t="s">
        <v>175</v>
      </c>
      <c r="L186" s="2" t="s">
        <v>101</v>
      </c>
      <c r="AA186" s="2"/>
      <c r="AB186" t="str">
        <f t="shared" si="2"/>
        <v>Katie Ingoldsby (29/06/2019 - present)</v>
      </c>
    </row>
    <row r="187" spans="1:28" x14ac:dyDescent="0.2">
      <c r="A187" s="3">
        <v>21</v>
      </c>
      <c r="B187" s="2" t="s">
        <v>227</v>
      </c>
      <c r="C187" s="3">
        <v>748</v>
      </c>
      <c r="D187" s="2" t="s">
        <v>595</v>
      </c>
      <c r="E187" s="160">
        <v>42724</v>
      </c>
      <c r="F187" s="160">
        <v>43587</v>
      </c>
      <c r="G187" s="3">
        <v>610</v>
      </c>
      <c r="H187" s="2" t="s">
        <v>29</v>
      </c>
      <c r="I187" s="2" t="s">
        <v>562</v>
      </c>
      <c r="J187" s="3">
        <v>6</v>
      </c>
      <c r="K187" s="2" t="s">
        <v>96</v>
      </c>
      <c r="L187" s="2" t="s">
        <v>97</v>
      </c>
      <c r="AB187" t="str">
        <f t="shared" si="2"/>
        <v>Sinead OBrien (20/12/2016 - 02/05/2019)</v>
      </c>
    </row>
    <row r="188" spans="1:28" x14ac:dyDescent="0.2">
      <c r="A188" s="3">
        <v>21</v>
      </c>
      <c r="B188" s="2" t="s">
        <v>227</v>
      </c>
      <c r="C188" s="3">
        <v>123</v>
      </c>
      <c r="D188" s="2" t="s">
        <v>386</v>
      </c>
      <c r="E188" s="160">
        <v>39508</v>
      </c>
      <c r="F188" s="160">
        <v>42459</v>
      </c>
      <c r="G188" s="3">
        <v>525</v>
      </c>
      <c r="H188" s="2" t="s">
        <v>29</v>
      </c>
      <c r="I188" s="2" t="s">
        <v>197</v>
      </c>
      <c r="J188" s="3">
        <v>0</v>
      </c>
      <c r="K188" s="2" t="s">
        <v>175</v>
      </c>
      <c r="L188" s="2" t="s">
        <v>101</v>
      </c>
      <c r="AB188" t="str">
        <f t="shared" si="2"/>
        <v>Stepek (01/03/2008 - 30/03/2016)</v>
      </c>
    </row>
    <row r="189" spans="1:28" x14ac:dyDescent="0.2">
      <c r="A189" s="3">
        <v>25</v>
      </c>
      <c r="B189" s="2" t="s">
        <v>228</v>
      </c>
      <c r="C189" s="3">
        <v>818</v>
      </c>
      <c r="D189" s="2" t="s">
        <v>614</v>
      </c>
      <c r="E189" s="160">
        <v>44005</v>
      </c>
      <c r="F189" s="2"/>
      <c r="G189" s="3">
        <v>695</v>
      </c>
      <c r="H189" s="2" t="s">
        <v>29</v>
      </c>
      <c r="I189" s="2" t="s">
        <v>130</v>
      </c>
      <c r="J189" s="3">
        <v>0</v>
      </c>
      <c r="K189" s="2" t="s">
        <v>175</v>
      </c>
      <c r="L189" s="2" t="s">
        <v>101</v>
      </c>
      <c r="AA189" s="2"/>
      <c r="AB189" t="str">
        <f t="shared" si="2"/>
        <v>Jake Lindemere (23/06/2020 - present)</v>
      </c>
    </row>
    <row r="190" spans="1:28" x14ac:dyDescent="0.2">
      <c r="A190" s="3">
        <v>25</v>
      </c>
      <c r="B190" s="2" t="s">
        <v>228</v>
      </c>
      <c r="C190" s="3">
        <v>796</v>
      </c>
      <c r="D190" s="2" t="s">
        <v>777</v>
      </c>
      <c r="E190" s="160">
        <v>43764</v>
      </c>
      <c r="F190" s="160">
        <v>43946</v>
      </c>
      <c r="G190" s="3">
        <v>4170</v>
      </c>
      <c r="H190" s="2" t="s">
        <v>29</v>
      </c>
      <c r="I190" s="2" t="s">
        <v>130</v>
      </c>
      <c r="J190" s="3">
        <v>0</v>
      </c>
      <c r="K190" s="2" t="s">
        <v>175</v>
      </c>
      <c r="L190" s="2" t="s">
        <v>101</v>
      </c>
      <c r="AB190" t="str">
        <f t="shared" si="2"/>
        <v>James Beynon (26/10/2019 - 25/04/2020)</v>
      </c>
    </row>
    <row r="191" spans="1:28" x14ac:dyDescent="0.2">
      <c r="A191" s="3">
        <v>25</v>
      </c>
      <c r="B191" s="2" t="s">
        <v>228</v>
      </c>
      <c r="C191" s="3">
        <v>264</v>
      </c>
      <c r="D191" s="2" t="s">
        <v>378</v>
      </c>
      <c r="E191" s="160">
        <v>42263</v>
      </c>
      <c r="F191" s="160">
        <v>43711</v>
      </c>
      <c r="G191" s="3">
        <v>600</v>
      </c>
      <c r="H191" s="2" t="s">
        <v>29</v>
      </c>
      <c r="I191" s="2" t="s">
        <v>95</v>
      </c>
      <c r="J191" s="3">
        <v>10</v>
      </c>
      <c r="K191" s="2" t="s">
        <v>96</v>
      </c>
      <c r="L191" s="2" t="s">
        <v>97</v>
      </c>
      <c r="AB191" t="str">
        <f t="shared" si="2"/>
        <v>Ms Baziukiene (16/09/2015 - 03/09/2019)</v>
      </c>
    </row>
    <row r="192" spans="1:28" x14ac:dyDescent="0.2">
      <c r="A192" s="3">
        <v>25</v>
      </c>
      <c r="B192" s="2" t="s">
        <v>228</v>
      </c>
      <c r="C192" s="3">
        <v>220</v>
      </c>
      <c r="D192" s="2" t="s">
        <v>338</v>
      </c>
      <c r="E192" s="160">
        <v>41264</v>
      </c>
      <c r="F192" s="160">
        <v>42237</v>
      </c>
      <c r="G192" s="3">
        <v>560</v>
      </c>
      <c r="H192" s="2" t="s">
        <v>29</v>
      </c>
      <c r="I192" s="2" t="s">
        <v>95</v>
      </c>
      <c r="J192" s="3">
        <v>10</v>
      </c>
      <c r="K192" s="2" t="s">
        <v>96</v>
      </c>
      <c r="L192" s="2" t="s">
        <v>97</v>
      </c>
      <c r="AB192" t="str">
        <f t="shared" si="2"/>
        <v>L Wilcox (21/12/2012 - 21/08/2015)</v>
      </c>
    </row>
    <row r="193" spans="1:29" x14ac:dyDescent="0.2">
      <c r="A193" s="3">
        <v>25</v>
      </c>
      <c r="B193" s="2" t="s">
        <v>228</v>
      </c>
      <c r="C193" s="3">
        <v>210</v>
      </c>
      <c r="D193" s="2" t="s">
        <v>327</v>
      </c>
      <c r="E193" s="160">
        <v>40914</v>
      </c>
      <c r="F193" s="160">
        <v>41198</v>
      </c>
      <c r="G193" s="3">
        <v>595</v>
      </c>
      <c r="H193" s="2" t="s">
        <v>29</v>
      </c>
      <c r="I193" s="2" t="s">
        <v>95</v>
      </c>
      <c r="J193" s="3">
        <v>10</v>
      </c>
      <c r="K193" s="2" t="s">
        <v>96</v>
      </c>
      <c r="L193" s="2" t="s">
        <v>97</v>
      </c>
      <c r="AB193" t="str">
        <f t="shared" si="2"/>
        <v>C.Stringer (06/01/2012 - 16/10/2012)</v>
      </c>
    </row>
    <row r="194" spans="1:29" x14ac:dyDescent="0.2">
      <c r="A194" s="3">
        <v>25</v>
      </c>
      <c r="B194" s="2" t="s">
        <v>228</v>
      </c>
      <c r="C194" s="3">
        <v>196</v>
      </c>
      <c r="D194" s="2" t="s">
        <v>315</v>
      </c>
      <c r="E194" s="160">
        <v>40490</v>
      </c>
      <c r="F194" s="160">
        <v>40855</v>
      </c>
      <c r="G194" s="3">
        <v>625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t="shared" si="2"/>
        <v>R Sharkey (08/11/2010 - 08/11/2011)</v>
      </c>
    </row>
    <row r="195" spans="1:29" x14ac:dyDescent="0.2">
      <c r="A195" s="3">
        <v>25</v>
      </c>
      <c r="B195" s="2" t="s">
        <v>228</v>
      </c>
      <c r="C195" s="3">
        <v>157</v>
      </c>
      <c r="D195" s="2" t="s">
        <v>274</v>
      </c>
      <c r="E195" s="160">
        <v>40058</v>
      </c>
      <c r="F195" s="160">
        <v>40482</v>
      </c>
      <c r="G195" s="3">
        <v>600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t="shared" ref="AB195:AB258" si="3">IF(E195&lt;&gt;"",IF(F195="",D195&amp;" ("&amp;TEXT(E195,"dd/mm/yyyy")&amp;" - present)",D195&amp;" ("&amp;TEXT(E195,"dd/mm/yyyy")&amp;" - "&amp;TEXT(F195,"dd/mm/yyyy")&amp;")"),"")</f>
        <v>Hayley Whitcomb (02/09/2009 - 31/10/2010)</v>
      </c>
    </row>
    <row r="196" spans="1:29" x14ac:dyDescent="0.2">
      <c r="A196" s="3">
        <v>25</v>
      </c>
      <c r="B196" s="2" t="s">
        <v>228</v>
      </c>
      <c r="C196" s="3">
        <v>142</v>
      </c>
      <c r="D196" s="2" t="s">
        <v>261</v>
      </c>
      <c r="E196" s="160">
        <v>39724</v>
      </c>
      <c r="F196" s="160">
        <v>39967</v>
      </c>
      <c r="G196" s="3">
        <v>560</v>
      </c>
      <c r="H196" s="2" t="s">
        <v>29</v>
      </c>
      <c r="I196" s="2" t="s">
        <v>197</v>
      </c>
      <c r="J196" s="3">
        <v>0</v>
      </c>
      <c r="K196" s="2" t="s">
        <v>175</v>
      </c>
      <c r="L196" s="2" t="s">
        <v>101</v>
      </c>
      <c r="AB196" t="str">
        <f t="shared" si="3"/>
        <v>Afsheen Alizadeh (03/10/2008 - 03/06/2009)</v>
      </c>
    </row>
    <row r="197" spans="1:29" x14ac:dyDescent="0.2">
      <c r="A197" s="3">
        <v>25</v>
      </c>
      <c r="B197" s="2" t="s">
        <v>228</v>
      </c>
      <c r="C197" s="3">
        <v>124</v>
      </c>
      <c r="D197" s="2" t="s">
        <v>238</v>
      </c>
      <c r="E197" s="160">
        <v>39539</v>
      </c>
      <c r="F197" s="160">
        <v>39721</v>
      </c>
      <c r="G197" s="3">
        <v>550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t="shared" si="3"/>
        <v>Aydin Barus (01/04/2008 - 30/09/2008)</v>
      </c>
    </row>
    <row r="198" spans="1:29" x14ac:dyDescent="0.2">
      <c r="A198" s="3">
        <v>28</v>
      </c>
      <c r="B198" s="2" t="s">
        <v>107</v>
      </c>
      <c r="C198" s="3">
        <v>811</v>
      </c>
      <c r="D198" s="2" t="s">
        <v>596</v>
      </c>
      <c r="E198" s="160">
        <v>43883</v>
      </c>
      <c r="F198" s="2"/>
      <c r="G198" s="3">
        <v>625</v>
      </c>
      <c r="H198" s="2" t="s">
        <v>29</v>
      </c>
      <c r="I198" s="2" t="s">
        <v>130</v>
      </c>
      <c r="J198" s="3">
        <v>0</v>
      </c>
      <c r="K198" s="2" t="s">
        <v>175</v>
      </c>
      <c r="L198" s="2" t="s">
        <v>101</v>
      </c>
      <c r="AB198" t="str">
        <f t="shared" si="3"/>
        <v>G Stukas (22/02/2020 - present)</v>
      </c>
    </row>
    <row r="199" spans="1:29" x14ac:dyDescent="0.2">
      <c r="A199" s="3">
        <v>28</v>
      </c>
      <c r="B199" s="2" t="s">
        <v>107</v>
      </c>
      <c r="C199" s="3">
        <v>778</v>
      </c>
      <c r="D199" s="2" t="s">
        <v>597</v>
      </c>
      <c r="E199" s="160">
        <v>43448</v>
      </c>
      <c r="F199" s="160">
        <v>43812</v>
      </c>
      <c r="G199" s="3">
        <v>0</v>
      </c>
      <c r="H199" s="2" t="s">
        <v>29</v>
      </c>
      <c r="I199" s="2" t="s">
        <v>562</v>
      </c>
      <c r="J199" s="3">
        <v>6</v>
      </c>
      <c r="K199" s="2" t="s">
        <v>96</v>
      </c>
      <c r="L199" s="2" t="s">
        <v>97</v>
      </c>
      <c r="AB199" t="str">
        <f t="shared" si="3"/>
        <v>Christian John Bartlett (14/12/2018 - 13/12/2019)</v>
      </c>
    </row>
    <row r="200" spans="1:29" x14ac:dyDescent="0.2">
      <c r="A200" s="3">
        <v>28</v>
      </c>
      <c r="B200" s="2" t="s">
        <v>107</v>
      </c>
      <c r="C200" s="3">
        <v>271</v>
      </c>
      <c r="D200" s="2" t="s">
        <v>387</v>
      </c>
      <c r="E200" s="160">
        <v>42459</v>
      </c>
      <c r="F200" s="160">
        <v>43402</v>
      </c>
      <c r="G200" s="3">
        <v>520</v>
      </c>
      <c r="H200" s="2" t="s">
        <v>29</v>
      </c>
      <c r="I200" s="2" t="s">
        <v>95</v>
      </c>
      <c r="J200" s="3">
        <v>10</v>
      </c>
      <c r="K200" s="2" t="s">
        <v>96</v>
      </c>
      <c r="L200" s="2" t="s">
        <v>97</v>
      </c>
      <c r="AB200" t="str">
        <f t="shared" si="3"/>
        <v>Mr Prior (30/03/2016 - 29/10/2018)</v>
      </c>
    </row>
    <row r="201" spans="1:29" x14ac:dyDescent="0.2">
      <c r="A201" s="3">
        <v>28</v>
      </c>
      <c r="B201" s="2" t="s">
        <v>107</v>
      </c>
      <c r="C201" s="3">
        <v>266</v>
      </c>
      <c r="D201" s="2" t="s">
        <v>381</v>
      </c>
      <c r="E201" s="160">
        <v>42360</v>
      </c>
      <c r="F201" s="160">
        <v>42458</v>
      </c>
      <c r="G201" s="3">
        <v>520</v>
      </c>
      <c r="H201" s="2" t="s">
        <v>29</v>
      </c>
      <c r="I201" s="2" t="s">
        <v>95</v>
      </c>
      <c r="J201" s="3">
        <v>10</v>
      </c>
      <c r="K201" s="2" t="s">
        <v>96</v>
      </c>
      <c r="L201" s="2" t="s">
        <v>97</v>
      </c>
      <c r="M201" s="51"/>
      <c r="N201" s="51"/>
      <c r="O201" s="51"/>
      <c r="P201" s="51"/>
      <c r="Q201" s="51"/>
      <c r="R201" s="51"/>
      <c r="S201" s="51"/>
      <c r="T201" s="51"/>
      <c r="U201" s="51"/>
      <c r="V201" s="51"/>
      <c r="W201" s="51"/>
      <c r="X201" s="51"/>
      <c r="Y201" s="51"/>
      <c r="Z201" s="51"/>
      <c r="AA201" s="51"/>
      <c r="AB201" s="51" t="str">
        <f t="shared" si="3"/>
        <v>Ms Jane Marriage (22/12/2015 - 29/03/2016)</v>
      </c>
      <c r="AC201" s="51"/>
    </row>
    <row r="202" spans="1:29" x14ac:dyDescent="0.2">
      <c r="A202" s="3">
        <v>28</v>
      </c>
      <c r="B202" s="2" t="s">
        <v>107</v>
      </c>
      <c r="C202" s="3">
        <v>253</v>
      </c>
      <c r="D202" s="2" t="s">
        <v>367</v>
      </c>
      <c r="E202" s="160">
        <v>41969</v>
      </c>
      <c r="F202" s="160">
        <v>42303</v>
      </c>
      <c r="G202" s="3">
        <v>525</v>
      </c>
      <c r="H202" s="2" t="s">
        <v>29</v>
      </c>
      <c r="I202" s="2" t="s">
        <v>95</v>
      </c>
      <c r="J202" s="3">
        <v>10</v>
      </c>
      <c r="K202" s="2" t="s">
        <v>96</v>
      </c>
      <c r="L202" s="2" t="s">
        <v>97</v>
      </c>
      <c r="AB202" t="str">
        <f t="shared" si="3"/>
        <v>G Smith (26/11/2014 - 26/10/2015)</v>
      </c>
    </row>
    <row r="203" spans="1:29" x14ac:dyDescent="0.2">
      <c r="A203" s="3">
        <v>28</v>
      </c>
      <c r="B203" s="2" t="s">
        <v>107</v>
      </c>
      <c r="C203" s="3">
        <v>223</v>
      </c>
      <c r="D203" s="2" t="s">
        <v>342</v>
      </c>
      <c r="E203" s="160">
        <v>41365</v>
      </c>
      <c r="F203" s="160">
        <v>41943</v>
      </c>
      <c r="G203" s="3">
        <v>495</v>
      </c>
      <c r="H203" s="2" t="s">
        <v>29</v>
      </c>
      <c r="I203" s="2" t="s">
        <v>197</v>
      </c>
      <c r="J203" s="3">
        <v>0</v>
      </c>
      <c r="K203" s="2" t="s">
        <v>175</v>
      </c>
      <c r="L203" s="2" t="s">
        <v>101</v>
      </c>
      <c r="AB203" t="str">
        <f t="shared" si="3"/>
        <v>Patricia McCardle (01/04/2013 - 31/10/2014)</v>
      </c>
    </row>
    <row r="204" spans="1:29" x14ac:dyDescent="0.2">
      <c r="A204" s="3">
        <v>28</v>
      </c>
      <c r="B204" s="2" t="s">
        <v>107</v>
      </c>
      <c r="C204" s="3">
        <v>212</v>
      </c>
      <c r="D204" s="2" t="s">
        <v>328</v>
      </c>
      <c r="E204" s="160">
        <v>40855</v>
      </c>
      <c r="F204" s="160">
        <v>41327</v>
      </c>
      <c r="G204" s="3">
        <v>475</v>
      </c>
      <c r="H204" s="2" t="s">
        <v>29</v>
      </c>
      <c r="I204" s="2" t="s">
        <v>197</v>
      </c>
      <c r="J204" s="3">
        <v>0</v>
      </c>
      <c r="K204" s="2" t="s">
        <v>175</v>
      </c>
      <c r="L204" s="2" t="s">
        <v>101</v>
      </c>
      <c r="AA204" s="2"/>
      <c r="AB204" t="str">
        <f t="shared" si="3"/>
        <v>Tom Jones (08/11/2011 - 22/02/2013)</v>
      </c>
    </row>
    <row r="205" spans="1:29" x14ac:dyDescent="0.2">
      <c r="A205" s="3">
        <v>28</v>
      </c>
      <c r="B205" s="2" t="s">
        <v>107</v>
      </c>
      <c r="C205" s="3">
        <v>65</v>
      </c>
      <c r="D205" s="2" t="s">
        <v>229</v>
      </c>
      <c r="E205" s="160">
        <v>38863</v>
      </c>
      <c r="F205" s="160">
        <v>40848</v>
      </c>
      <c r="G205" s="3">
        <v>400</v>
      </c>
      <c r="H205" s="2" t="s">
        <v>29</v>
      </c>
      <c r="I205" s="2" t="s">
        <v>197</v>
      </c>
      <c r="J205" s="3">
        <v>0</v>
      </c>
      <c r="K205" s="2" t="s">
        <v>175</v>
      </c>
      <c r="L205" s="2" t="s">
        <v>101</v>
      </c>
      <c r="AB205" t="str">
        <f t="shared" si="3"/>
        <v>Mrs Lynne Hedley (26/05/2006 - 01/11/2011)</v>
      </c>
    </row>
    <row r="206" spans="1:29" x14ac:dyDescent="0.2">
      <c r="A206" s="3">
        <v>28</v>
      </c>
      <c r="B206" s="2" t="s">
        <v>107</v>
      </c>
      <c r="C206" s="3">
        <v>30</v>
      </c>
      <c r="D206" s="2" t="s">
        <v>108</v>
      </c>
      <c r="E206" s="160">
        <v>38583</v>
      </c>
      <c r="F206" s="160">
        <v>38825</v>
      </c>
      <c r="G206" s="3">
        <v>450</v>
      </c>
      <c r="H206" s="2" t="s">
        <v>29</v>
      </c>
      <c r="I206" s="2" t="s">
        <v>104</v>
      </c>
      <c r="J206" s="3">
        <v>10</v>
      </c>
      <c r="K206" s="2" t="s">
        <v>96</v>
      </c>
      <c r="L206" s="2" t="s">
        <v>97</v>
      </c>
      <c r="AB206" t="str">
        <f t="shared" si="3"/>
        <v>J Tidball (19/08/2005 - 18/04/2006)</v>
      </c>
    </row>
    <row r="207" spans="1:29" x14ac:dyDescent="0.2">
      <c r="A207" s="3">
        <v>23</v>
      </c>
      <c r="B207" s="2" t="s">
        <v>67</v>
      </c>
      <c r="C207" s="3">
        <v>851</v>
      </c>
      <c r="D207" s="2" t="s">
        <v>778</v>
      </c>
      <c r="E207" s="160">
        <v>44439</v>
      </c>
      <c r="F207" s="2"/>
      <c r="G207" s="3">
        <v>825</v>
      </c>
      <c r="H207" s="2" t="s">
        <v>29</v>
      </c>
      <c r="I207" s="2" t="s">
        <v>130</v>
      </c>
      <c r="J207" s="3">
        <v>0</v>
      </c>
      <c r="K207" s="2" t="s">
        <v>175</v>
      </c>
      <c r="L207" s="2" t="s">
        <v>101</v>
      </c>
      <c r="AB207" t="str">
        <f t="shared" si="3"/>
        <v>Cole Downing and Miss Alice Jackman (31/08/2021 - present)</v>
      </c>
    </row>
    <row r="208" spans="1:29" x14ac:dyDescent="0.2">
      <c r="A208" s="3">
        <v>23</v>
      </c>
      <c r="B208" s="2" t="s">
        <v>67</v>
      </c>
      <c r="C208" s="3">
        <v>850</v>
      </c>
      <c r="D208" s="2" t="s">
        <v>779</v>
      </c>
      <c r="E208" s="160">
        <v>44426</v>
      </c>
      <c r="F208" s="2"/>
      <c r="G208" s="3">
        <v>196</v>
      </c>
      <c r="H208" s="2" t="s">
        <v>29</v>
      </c>
      <c r="I208" s="2" t="s">
        <v>130</v>
      </c>
      <c r="J208" s="3">
        <v>0</v>
      </c>
      <c r="K208" s="2" t="s">
        <v>175</v>
      </c>
      <c r="L208" s="2" t="s">
        <v>101</v>
      </c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 t="str">
        <f t="shared" si="3"/>
        <v>Roxane Bonithon and Mr Maurel Inamba (18/08/2021 - present)</v>
      </c>
      <c r="AC208" s="51"/>
    </row>
    <row r="209" spans="1:28" x14ac:dyDescent="0.2">
      <c r="A209" s="3">
        <v>23</v>
      </c>
      <c r="B209" s="2" t="s">
        <v>67</v>
      </c>
      <c r="C209" s="3">
        <v>785</v>
      </c>
      <c r="D209" s="2" t="s">
        <v>598</v>
      </c>
      <c r="E209" s="160">
        <v>43619</v>
      </c>
      <c r="F209" s="2"/>
      <c r="G209" s="3">
        <v>600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t="shared" si="3"/>
        <v>A Stancu (03/06/2019 - present)</v>
      </c>
    </row>
    <row r="210" spans="1:28" x14ac:dyDescent="0.2">
      <c r="A210" s="3">
        <v>23</v>
      </c>
      <c r="B210" s="2" t="s">
        <v>67</v>
      </c>
      <c r="C210" s="3">
        <v>765</v>
      </c>
      <c r="D210" s="2" t="s">
        <v>599</v>
      </c>
      <c r="E210" s="160">
        <v>43139</v>
      </c>
      <c r="F210" s="160">
        <v>43432</v>
      </c>
      <c r="G210" s="3">
        <v>0</v>
      </c>
      <c r="H210" s="2" t="s">
        <v>29</v>
      </c>
      <c r="I210" s="2" t="s">
        <v>562</v>
      </c>
      <c r="J210" s="3">
        <v>6</v>
      </c>
      <c r="K210" s="2" t="s">
        <v>96</v>
      </c>
      <c r="L210" s="2" t="s">
        <v>97</v>
      </c>
      <c r="AB210" t="str">
        <f t="shared" si="3"/>
        <v>Matthew Skelton (08/02/2018 - 28/11/2018)</v>
      </c>
    </row>
    <row r="211" spans="1:28" x14ac:dyDescent="0.2">
      <c r="A211" s="3">
        <v>23</v>
      </c>
      <c r="B211" s="2" t="s">
        <v>67</v>
      </c>
      <c r="C211" s="3">
        <v>254</v>
      </c>
      <c r="D211" s="2" t="s">
        <v>361</v>
      </c>
      <c r="E211" s="160">
        <v>41794</v>
      </c>
      <c r="F211" s="160">
        <v>43087</v>
      </c>
      <c r="G211" s="3">
        <v>500</v>
      </c>
      <c r="H211" s="2" t="s">
        <v>29</v>
      </c>
      <c r="I211" s="2" t="s">
        <v>95</v>
      </c>
      <c r="J211" s="3">
        <v>10</v>
      </c>
      <c r="K211" s="2" t="s">
        <v>96</v>
      </c>
      <c r="L211" s="2" t="s">
        <v>97</v>
      </c>
      <c r="AB211" t="str">
        <f t="shared" si="3"/>
        <v>Ms Sally Taylor (04/06/2014 - 18/12/2017)</v>
      </c>
    </row>
    <row r="212" spans="1:28" x14ac:dyDescent="0.2">
      <c r="A212" s="3">
        <v>23</v>
      </c>
      <c r="B212" s="2" t="s">
        <v>67</v>
      </c>
      <c r="C212" s="3">
        <v>228</v>
      </c>
      <c r="D212" s="2" t="s">
        <v>346</v>
      </c>
      <c r="E212" s="160">
        <v>41376</v>
      </c>
      <c r="F212" s="160">
        <v>41790</v>
      </c>
      <c r="G212" s="3">
        <v>500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t="shared" si="3"/>
        <v>Mr Lamour (12/04/2013 - 31/05/2014)</v>
      </c>
    </row>
    <row r="213" spans="1:28" x14ac:dyDescent="0.2">
      <c r="A213" s="3">
        <v>23</v>
      </c>
      <c r="B213" s="2" t="s">
        <v>67</v>
      </c>
      <c r="C213" s="3">
        <v>213</v>
      </c>
      <c r="D213" s="2" t="s">
        <v>330</v>
      </c>
      <c r="E213" s="160">
        <v>40975</v>
      </c>
      <c r="F213" s="160">
        <v>41364</v>
      </c>
      <c r="G213" s="3">
        <v>510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t="shared" si="3"/>
        <v>J Reason (07/03/2012 - 31/03/2013)</v>
      </c>
    </row>
    <row r="214" spans="1:28" x14ac:dyDescent="0.2">
      <c r="A214" s="3">
        <v>23</v>
      </c>
      <c r="B214" s="2" t="s">
        <v>67</v>
      </c>
      <c r="C214" s="3">
        <v>161</v>
      </c>
      <c r="D214" s="2" t="s">
        <v>280</v>
      </c>
      <c r="E214" s="160">
        <v>40114</v>
      </c>
      <c r="F214" s="160">
        <v>40967</v>
      </c>
      <c r="G214" s="3">
        <v>500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t="shared" si="3"/>
        <v>Davy Lyons (28/10/2009 - 28/02/2012)</v>
      </c>
    </row>
    <row r="215" spans="1:28" x14ac:dyDescent="0.2">
      <c r="A215" s="3">
        <v>23</v>
      </c>
      <c r="B215" s="2" t="s">
        <v>67</v>
      </c>
      <c r="C215" s="3">
        <v>95</v>
      </c>
      <c r="D215" s="2" t="s">
        <v>87</v>
      </c>
      <c r="E215" s="160">
        <v>39132</v>
      </c>
      <c r="F215" s="160">
        <v>40086</v>
      </c>
      <c r="G215" s="3">
        <v>600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t="shared" si="3"/>
        <v>Leggett &amp; Crawford (19/02/2007 - 30/09/2009)</v>
      </c>
    </row>
    <row r="216" spans="1:28" x14ac:dyDescent="0.2">
      <c r="A216" s="3">
        <v>23</v>
      </c>
      <c r="B216" s="2" t="s">
        <v>67</v>
      </c>
      <c r="C216" s="3">
        <v>48</v>
      </c>
      <c r="D216" s="2" t="s">
        <v>51</v>
      </c>
      <c r="E216" s="160">
        <v>38638</v>
      </c>
      <c r="F216" s="160">
        <v>39010</v>
      </c>
      <c r="G216" s="3">
        <v>530</v>
      </c>
      <c r="H216" s="2" t="s">
        <v>29</v>
      </c>
      <c r="I216" s="2" t="s">
        <v>104</v>
      </c>
      <c r="J216" s="3">
        <v>10</v>
      </c>
      <c r="K216" s="2" t="s">
        <v>96</v>
      </c>
      <c r="L216" s="2" t="s">
        <v>97</v>
      </c>
      <c r="AB216" t="str">
        <f t="shared" si="3"/>
        <v>Li (13/10/2005 - 20/10/2006)</v>
      </c>
    </row>
    <row r="217" spans="1:28" x14ac:dyDescent="0.2">
      <c r="A217" s="3">
        <v>27</v>
      </c>
      <c r="B217" s="2" t="s">
        <v>109</v>
      </c>
      <c r="C217" s="3">
        <v>809</v>
      </c>
      <c r="D217" s="2" t="s">
        <v>600</v>
      </c>
      <c r="E217" s="160">
        <v>43845</v>
      </c>
      <c r="F217" s="2"/>
      <c r="G217" s="3">
        <v>640</v>
      </c>
      <c r="H217" s="2" t="s">
        <v>29</v>
      </c>
      <c r="I217" s="2" t="s">
        <v>130</v>
      </c>
      <c r="J217" s="3">
        <v>0</v>
      </c>
      <c r="K217" s="2" t="s">
        <v>175</v>
      </c>
      <c r="L217" s="2" t="s">
        <v>101</v>
      </c>
      <c r="AA217" s="2"/>
      <c r="AB217" t="str">
        <f t="shared" si="3"/>
        <v>Andreea Maria and Mr Cosmin Maria (15/01/2020 - present)</v>
      </c>
    </row>
    <row r="218" spans="1:28" x14ac:dyDescent="0.2">
      <c r="A218" s="3">
        <v>27</v>
      </c>
      <c r="B218" s="2" t="s">
        <v>109</v>
      </c>
      <c r="C218" s="3">
        <v>786</v>
      </c>
      <c r="D218" s="2" t="s">
        <v>780</v>
      </c>
      <c r="E218" s="160">
        <v>43553</v>
      </c>
      <c r="F218" s="160">
        <v>43766</v>
      </c>
      <c r="G218" s="3">
        <v>700</v>
      </c>
      <c r="H218" s="2" t="s">
        <v>29</v>
      </c>
      <c r="I218" s="2" t="s">
        <v>130</v>
      </c>
      <c r="J218" s="3">
        <v>0</v>
      </c>
      <c r="K218" s="2" t="s">
        <v>175</v>
      </c>
      <c r="L218" s="2" t="s">
        <v>101</v>
      </c>
      <c r="AB218" t="str">
        <f t="shared" si="3"/>
        <v>Lukasz Ozimek (29/03/2019 - 28/10/2019)</v>
      </c>
    </row>
    <row r="219" spans="1:28" x14ac:dyDescent="0.2">
      <c r="A219" s="3">
        <v>27</v>
      </c>
      <c r="B219" s="2" t="s">
        <v>109</v>
      </c>
      <c r="C219" s="3">
        <v>766</v>
      </c>
      <c r="D219" s="2" t="s">
        <v>601</v>
      </c>
      <c r="E219" s="160">
        <v>43131</v>
      </c>
      <c r="F219" s="160">
        <v>43332</v>
      </c>
      <c r="G219" s="3">
        <v>0</v>
      </c>
      <c r="H219" s="2" t="s">
        <v>29</v>
      </c>
      <c r="I219" s="2" t="s">
        <v>562</v>
      </c>
      <c r="J219" s="3">
        <v>6</v>
      </c>
      <c r="K219" s="2" t="s">
        <v>96</v>
      </c>
      <c r="L219" s="2" t="s">
        <v>97</v>
      </c>
      <c r="AB219" t="str">
        <f t="shared" si="3"/>
        <v>Radames Perez, Miss Vanessa Bergamo (31/01/2018 - 20/08/2018)</v>
      </c>
    </row>
    <row r="220" spans="1:28" s="51" customFormat="1" x14ac:dyDescent="0.2">
      <c r="A220" s="3">
        <v>27</v>
      </c>
      <c r="B220" s="2" t="s">
        <v>109</v>
      </c>
      <c r="C220" s="3">
        <v>238</v>
      </c>
      <c r="D220" s="2" t="s">
        <v>352</v>
      </c>
      <c r="E220" s="160">
        <v>41527</v>
      </c>
      <c r="F220" s="160">
        <v>43017</v>
      </c>
      <c r="G220" s="3">
        <v>600</v>
      </c>
      <c r="H220" s="2" t="s">
        <v>29</v>
      </c>
      <c r="I220" s="2" t="s">
        <v>95</v>
      </c>
      <c r="J220" s="3">
        <v>10</v>
      </c>
      <c r="K220" s="2" t="s">
        <v>96</v>
      </c>
      <c r="L220" s="2" t="s">
        <v>97</v>
      </c>
      <c r="AB220" s="51" t="str">
        <f t="shared" si="3"/>
        <v>Ms S Ryan (10/09/2013 - 09/10/2017)</v>
      </c>
    </row>
    <row r="221" spans="1:28" x14ac:dyDescent="0.2">
      <c r="A221" s="3">
        <v>27</v>
      </c>
      <c r="B221" s="2" t="s">
        <v>109</v>
      </c>
      <c r="C221" s="3">
        <v>197</v>
      </c>
      <c r="D221" s="2" t="s">
        <v>316</v>
      </c>
      <c r="E221" s="160">
        <v>40525</v>
      </c>
      <c r="F221" s="160">
        <v>41499</v>
      </c>
      <c r="G221" s="3">
        <v>580</v>
      </c>
      <c r="H221" s="2" t="s">
        <v>29</v>
      </c>
      <c r="I221" s="2" t="s">
        <v>95</v>
      </c>
      <c r="J221" s="3">
        <v>10</v>
      </c>
      <c r="K221" s="2" t="s">
        <v>96</v>
      </c>
      <c r="L221" s="2" t="s">
        <v>97</v>
      </c>
      <c r="AB221" t="str">
        <f t="shared" si="3"/>
        <v>G Makoselo (13/12/2010 - 13/08/2013)</v>
      </c>
    </row>
    <row r="222" spans="1:28" x14ac:dyDescent="0.2">
      <c r="A222" s="3">
        <v>27</v>
      </c>
      <c r="B222" s="2" t="s">
        <v>109</v>
      </c>
      <c r="C222" s="3">
        <v>162</v>
      </c>
      <c r="D222" s="2" t="s">
        <v>281</v>
      </c>
      <c r="E222" s="160">
        <v>40107</v>
      </c>
      <c r="F222" s="160">
        <v>40482</v>
      </c>
      <c r="G222" s="3">
        <v>625</v>
      </c>
      <c r="H222" s="2" t="s">
        <v>29</v>
      </c>
      <c r="I222" s="2" t="s">
        <v>95</v>
      </c>
      <c r="J222" s="3">
        <v>10</v>
      </c>
      <c r="K222" s="2" t="s">
        <v>96</v>
      </c>
      <c r="L222" s="2" t="s">
        <v>97</v>
      </c>
      <c r="AB222" t="str">
        <f t="shared" si="3"/>
        <v>Tim Blanton &amp; Greg Sotheran (21/10/2009 - 31/10/2010)</v>
      </c>
    </row>
    <row r="223" spans="1:28" x14ac:dyDescent="0.2">
      <c r="A223" s="3">
        <v>27</v>
      </c>
      <c r="B223" s="2" t="s">
        <v>109</v>
      </c>
      <c r="C223" s="3">
        <v>158</v>
      </c>
      <c r="D223" s="2" t="s">
        <v>275</v>
      </c>
      <c r="E223" s="160">
        <v>40050</v>
      </c>
      <c r="F223" s="160">
        <v>40086</v>
      </c>
      <c r="G223" s="3">
        <v>560</v>
      </c>
      <c r="H223" s="2" t="s">
        <v>29</v>
      </c>
      <c r="I223" s="2" t="s">
        <v>95</v>
      </c>
      <c r="J223" s="3">
        <v>10</v>
      </c>
      <c r="K223" s="2" t="s">
        <v>96</v>
      </c>
      <c r="L223" s="2" t="s">
        <v>97</v>
      </c>
      <c r="AB223" t="str">
        <f t="shared" si="3"/>
        <v>Susan Taylor (25/08/2009 - 30/09/2009)</v>
      </c>
    </row>
    <row r="224" spans="1:28" x14ac:dyDescent="0.2">
      <c r="A224" s="3">
        <v>27</v>
      </c>
      <c r="B224" s="2" t="s">
        <v>109</v>
      </c>
      <c r="C224" s="3">
        <v>116</v>
      </c>
      <c r="D224" s="2" t="s">
        <v>200</v>
      </c>
      <c r="E224" s="160">
        <v>39423</v>
      </c>
      <c r="F224" s="160">
        <v>39994</v>
      </c>
      <c r="G224" s="3">
        <v>580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t="shared" si="3"/>
        <v>Wiggins &amp; Jones (07/12/2007 - 30/06/2009)</v>
      </c>
    </row>
    <row r="225" spans="1:29" x14ac:dyDescent="0.2">
      <c r="A225" s="3">
        <v>27</v>
      </c>
      <c r="B225" s="2" t="s">
        <v>109</v>
      </c>
      <c r="C225" s="3">
        <v>37</v>
      </c>
      <c r="D225" s="2" t="s">
        <v>110</v>
      </c>
      <c r="E225" s="160">
        <v>38540</v>
      </c>
      <c r="F225" s="160">
        <v>39362</v>
      </c>
      <c r="G225" s="3">
        <v>575</v>
      </c>
      <c r="H225" s="2" t="s">
        <v>29</v>
      </c>
      <c r="I225" s="2" t="s">
        <v>104</v>
      </c>
      <c r="J225" s="3">
        <v>10</v>
      </c>
      <c r="K225" s="2" t="s">
        <v>96</v>
      </c>
      <c r="L225" s="2" t="s">
        <v>97</v>
      </c>
      <c r="AB225" t="str">
        <f t="shared" si="3"/>
        <v xml:space="preserve"> Matthews (07/07/2005 - 07/10/2007)</v>
      </c>
    </row>
    <row r="226" spans="1:29" x14ac:dyDescent="0.2">
      <c r="A226" s="3">
        <v>24</v>
      </c>
      <c r="B226" s="2" t="s">
        <v>141</v>
      </c>
      <c r="C226" s="2"/>
      <c r="D226" s="2"/>
      <c r="E226" s="2"/>
      <c r="F226" s="2"/>
      <c r="G226" s="2"/>
      <c r="H226" s="2"/>
      <c r="I226" s="2"/>
      <c r="J226" s="2"/>
      <c r="K226" s="2"/>
      <c r="L226" s="2"/>
      <c r="AB226" t="str">
        <f t="shared" si="3"/>
        <v/>
      </c>
    </row>
    <row r="227" spans="1:29" x14ac:dyDescent="0.2">
      <c r="A227" s="3">
        <v>29</v>
      </c>
      <c r="B227" s="2" t="s">
        <v>142</v>
      </c>
      <c r="C227" s="2"/>
      <c r="D227" s="2"/>
      <c r="E227" s="2"/>
      <c r="F227" s="2"/>
      <c r="G227" s="2"/>
      <c r="H227" s="2"/>
      <c r="I227" s="2"/>
      <c r="J227" s="2"/>
      <c r="K227" s="2"/>
      <c r="L227" s="2"/>
      <c r="AB227" t="str">
        <f t="shared" si="3"/>
        <v/>
      </c>
    </row>
    <row r="228" spans="1:29" x14ac:dyDescent="0.2">
      <c r="A228" s="3">
        <v>51</v>
      </c>
      <c r="B228" s="2" t="s">
        <v>144</v>
      </c>
      <c r="C228" s="2"/>
      <c r="D228" s="2"/>
      <c r="E228" s="2"/>
      <c r="F228" s="2"/>
      <c r="G228" s="2"/>
      <c r="H228" s="2"/>
      <c r="I228" s="2"/>
      <c r="J228" s="2"/>
      <c r="K228" s="2"/>
      <c r="L228" s="2"/>
      <c r="AB228" t="str">
        <f t="shared" si="3"/>
        <v/>
      </c>
    </row>
    <row r="229" spans="1:29" x14ac:dyDescent="0.2">
      <c r="A229" s="3">
        <v>51</v>
      </c>
      <c r="B229" s="2" t="s">
        <v>235</v>
      </c>
      <c r="C229" s="2"/>
      <c r="D229" s="2"/>
      <c r="E229" s="2"/>
      <c r="F229" s="2"/>
      <c r="G229" s="2"/>
      <c r="H229" s="2"/>
      <c r="I229" s="2"/>
      <c r="J229" s="2"/>
      <c r="K229" s="2"/>
      <c r="L229" s="2"/>
      <c r="AB229" t="str">
        <f t="shared" si="3"/>
        <v/>
      </c>
    </row>
    <row r="230" spans="1:29" x14ac:dyDescent="0.2">
      <c r="A230" s="3">
        <v>46</v>
      </c>
      <c r="B230" s="2" t="s">
        <v>68</v>
      </c>
      <c r="C230" s="3">
        <v>758</v>
      </c>
      <c r="D230" s="2" t="s">
        <v>602</v>
      </c>
      <c r="E230" s="160">
        <v>42934</v>
      </c>
      <c r="F230" s="2"/>
      <c r="G230" s="3">
        <v>525</v>
      </c>
      <c r="H230" s="2" t="s">
        <v>29</v>
      </c>
      <c r="I230" s="2" t="s">
        <v>562</v>
      </c>
      <c r="J230" s="3">
        <v>6</v>
      </c>
      <c r="K230" s="2" t="s">
        <v>96</v>
      </c>
      <c r="L230" s="2" t="s">
        <v>97</v>
      </c>
      <c r="AB230" t="str">
        <f t="shared" si="3"/>
        <v>Andrew Greer (18/07/2017 - present)</v>
      </c>
    </row>
    <row r="231" spans="1:29" x14ac:dyDescent="0.2">
      <c r="A231" s="3">
        <v>46</v>
      </c>
      <c r="B231" s="2" t="s">
        <v>68</v>
      </c>
      <c r="C231" s="3">
        <v>275</v>
      </c>
      <c r="D231" s="2" t="s">
        <v>388</v>
      </c>
      <c r="E231" s="160">
        <v>42559</v>
      </c>
      <c r="F231" s="160">
        <v>42863</v>
      </c>
      <c r="G231" s="3">
        <v>505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t="shared" si="3"/>
        <v>Mr Tudor (08/07/2016 - 08/05/2017)</v>
      </c>
    </row>
    <row r="232" spans="1:29" x14ac:dyDescent="0.2">
      <c r="A232" s="3">
        <v>46</v>
      </c>
      <c r="B232" s="2" t="s">
        <v>68</v>
      </c>
      <c r="C232" s="3">
        <v>138</v>
      </c>
      <c r="D232" s="2" t="s">
        <v>159</v>
      </c>
      <c r="E232" s="160">
        <v>39654</v>
      </c>
      <c r="F232" s="160">
        <v>42459</v>
      </c>
      <c r="G232" s="3">
        <v>480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t="shared" si="3"/>
        <v>Jones (25/07/2008 - 30/03/2016)</v>
      </c>
    </row>
    <row r="233" spans="1:29" x14ac:dyDescent="0.2">
      <c r="A233" s="3">
        <v>46</v>
      </c>
      <c r="B233" s="2" t="s">
        <v>68</v>
      </c>
      <c r="C233" s="3">
        <v>137</v>
      </c>
      <c r="D233" s="2" t="s">
        <v>256</v>
      </c>
      <c r="E233" s="160">
        <v>39588</v>
      </c>
      <c r="F233" s="160">
        <v>39638</v>
      </c>
      <c r="G233" s="3">
        <v>480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t="shared" si="3"/>
        <v>James (20/05/2008 - 09/07/2008)</v>
      </c>
    </row>
    <row r="234" spans="1:29" x14ac:dyDescent="0.2">
      <c r="A234" s="3">
        <v>46</v>
      </c>
      <c r="B234" s="2" t="s">
        <v>68</v>
      </c>
      <c r="C234" s="3">
        <v>87</v>
      </c>
      <c r="D234" s="2" t="s">
        <v>16</v>
      </c>
      <c r="E234" s="160">
        <v>38971</v>
      </c>
      <c r="F234" s="160">
        <v>39588</v>
      </c>
      <c r="G234" s="3">
        <v>460</v>
      </c>
      <c r="H234" s="2" t="s">
        <v>29</v>
      </c>
      <c r="I234" s="2" t="s">
        <v>95</v>
      </c>
      <c r="J234" s="3">
        <v>10</v>
      </c>
      <c r="K234" s="2" t="s">
        <v>96</v>
      </c>
      <c r="L234" s="2" t="s">
        <v>97</v>
      </c>
      <c r="AB234" t="str">
        <f t="shared" si="3"/>
        <v>Mallinson (11/09/2006 - 20/05/2008)</v>
      </c>
    </row>
    <row r="235" spans="1:29" x14ac:dyDescent="0.2">
      <c r="A235" s="3">
        <v>46</v>
      </c>
      <c r="B235" s="2" t="s">
        <v>68</v>
      </c>
      <c r="C235" s="3">
        <v>69</v>
      </c>
      <c r="D235" s="2" t="s">
        <v>52</v>
      </c>
      <c r="E235" s="160">
        <v>38839</v>
      </c>
      <c r="F235" s="160">
        <v>38961</v>
      </c>
      <c r="G235" s="3">
        <v>460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t="shared" si="3"/>
        <v>Henderson (02/05/2006 - 01/09/2006)</v>
      </c>
    </row>
    <row r="236" spans="1:29" s="51" customFormat="1" x14ac:dyDescent="0.2">
      <c r="A236" s="3">
        <v>52</v>
      </c>
      <c r="B236" s="2" t="s">
        <v>69</v>
      </c>
      <c r="C236" s="3">
        <v>849</v>
      </c>
      <c r="D236" s="2" t="s">
        <v>781</v>
      </c>
      <c r="E236" s="160">
        <v>44431</v>
      </c>
      <c r="F236" s="2"/>
      <c r="G236" s="3">
        <v>4200</v>
      </c>
      <c r="H236" s="2" t="s">
        <v>29</v>
      </c>
      <c r="I236" s="2" t="s">
        <v>130</v>
      </c>
      <c r="J236" s="3">
        <v>0</v>
      </c>
      <c r="K236" s="2" t="s">
        <v>175</v>
      </c>
      <c r="L236" s="2" t="s">
        <v>101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t="shared" si="3"/>
        <v>Ana Gomes and Mr Ivo Ramos (23/08/2021 - present)</v>
      </c>
      <c r="AC236"/>
    </row>
    <row r="237" spans="1:29" x14ac:dyDescent="0.2">
      <c r="A237" s="3">
        <v>52</v>
      </c>
      <c r="B237" s="2" t="s">
        <v>69</v>
      </c>
      <c r="C237" s="3">
        <v>756</v>
      </c>
      <c r="D237" s="2" t="s">
        <v>603</v>
      </c>
      <c r="E237" s="160">
        <v>42861</v>
      </c>
      <c r="F237" s="160">
        <v>44384</v>
      </c>
      <c r="G237" s="3">
        <v>525</v>
      </c>
      <c r="H237" s="2" t="s">
        <v>29</v>
      </c>
      <c r="I237" s="2" t="s">
        <v>562</v>
      </c>
      <c r="J237" s="3">
        <v>6</v>
      </c>
      <c r="K237" s="2" t="s">
        <v>96</v>
      </c>
      <c r="L237" s="2" t="s">
        <v>97</v>
      </c>
      <c r="AB237" t="str">
        <f t="shared" si="3"/>
        <v>Tony Di-Marco (06/05/2017 - 07/07/2021)</v>
      </c>
    </row>
    <row r="238" spans="1:29" x14ac:dyDescent="0.2">
      <c r="A238" s="3">
        <v>52</v>
      </c>
      <c r="B238" s="2" t="s">
        <v>69</v>
      </c>
      <c r="C238" s="3">
        <v>267</v>
      </c>
      <c r="D238" s="2" t="s">
        <v>383</v>
      </c>
      <c r="E238" s="160">
        <v>42377</v>
      </c>
      <c r="F238" s="160">
        <v>42755</v>
      </c>
      <c r="G238" s="3">
        <v>505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t="shared" si="3"/>
        <v>Mr Hopkinson (08/01/2016 - 20/01/2017)</v>
      </c>
    </row>
    <row r="239" spans="1:29" x14ac:dyDescent="0.2">
      <c r="A239" s="3">
        <v>52</v>
      </c>
      <c r="B239" s="2" t="s">
        <v>69</v>
      </c>
      <c r="C239" s="3">
        <v>256</v>
      </c>
      <c r="D239" s="2" t="s">
        <v>362</v>
      </c>
      <c r="E239" s="160">
        <v>41824</v>
      </c>
      <c r="F239" s="160">
        <v>42338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t="shared" si="3"/>
        <v>Mr D Cooper (04/07/2014 - 30/11/2015)</v>
      </c>
    </row>
    <row r="240" spans="1:29" x14ac:dyDescent="0.2">
      <c r="A240" s="3">
        <v>52</v>
      </c>
      <c r="B240" s="2" t="s">
        <v>69</v>
      </c>
      <c r="C240" s="3">
        <v>211</v>
      </c>
      <c r="D240" s="2" t="s">
        <v>329</v>
      </c>
      <c r="E240" s="160">
        <v>40871</v>
      </c>
      <c r="F240" s="160">
        <v>41814</v>
      </c>
      <c r="G240" s="3">
        <v>500</v>
      </c>
      <c r="H240" s="2" t="s">
        <v>29</v>
      </c>
      <c r="I240" s="2" t="s">
        <v>95</v>
      </c>
      <c r="J240" s="3">
        <v>10</v>
      </c>
      <c r="K240" s="2" t="s">
        <v>96</v>
      </c>
      <c r="L240" s="2" t="s">
        <v>97</v>
      </c>
      <c r="AB240" t="str">
        <f t="shared" si="3"/>
        <v>A Drummond (24/11/2011 - 24/06/2014)</v>
      </c>
    </row>
    <row r="241" spans="1:29" x14ac:dyDescent="0.2">
      <c r="A241" s="3">
        <v>52</v>
      </c>
      <c r="B241" s="2" t="s">
        <v>69</v>
      </c>
      <c r="C241" s="3">
        <v>89</v>
      </c>
      <c r="D241" s="2" t="s">
        <v>156</v>
      </c>
      <c r="E241" s="160">
        <v>39101</v>
      </c>
      <c r="F241" s="160">
        <v>40866</v>
      </c>
      <c r="G241" s="3">
        <v>495</v>
      </c>
      <c r="H241" s="2" t="s">
        <v>29</v>
      </c>
      <c r="I241" s="2" t="s">
        <v>95</v>
      </c>
      <c r="J241" s="3">
        <v>10</v>
      </c>
      <c r="K241" s="2" t="s">
        <v>96</v>
      </c>
      <c r="L241" s="2" t="s">
        <v>97</v>
      </c>
      <c r="AB241" t="str">
        <f t="shared" si="3"/>
        <v>Dunn (19/01/2007 - 19/11/2011)</v>
      </c>
    </row>
    <row r="242" spans="1:29" x14ac:dyDescent="0.2">
      <c r="A242" s="3">
        <v>52</v>
      </c>
      <c r="B242" s="2" t="s">
        <v>69</v>
      </c>
      <c r="C242" s="3">
        <v>74</v>
      </c>
      <c r="D242" s="2" t="s">
        <v>157</v>
      </c>
      <c r="E242" s="160">
        <v>38880</v>
      </c>
      <c r="F242" s="160">
        <v>39048</v>
      </c>
      <c r="G242" s="3">
        <v>475</v>
      </c>
      <c r="H242" s="2" t="s">
        <v>29</v>
      </c>
      <c r="I242" s="2" t="s">
        <v>104</v>
      </c>
      <c r="J242" s="3">
        <v>10</v>
      </c>
      <c r="K242" s="2" t="s">
        <v>96</v>
      </c>
      <c r="L242" s="2" t="s">
        <v>97</v>
      </c>
      <c r="M242" s="51"/>
      <c r="N242" s="51"/>
      <c r="O242" s="51"/>
      <c r="P242" s="51"/>
      <c r="Q242" s="51"/>
      <c r="R242" s="51"/>
      <c r="S242" s="51"/>
      <c r="T242" s="51"/>
      <c r="U242" s="51"/>
      <c r="V242" s="51"/>
      <c r="W242" s="51"/>
      <c r="X242" s="51"/>
      <c r="Y242" s="51"/>
      <c r="Z242" s="51"/>
      <c r="AA242" s="51"/>
      <c r="AB242" s="51" t="str">
        <f t="shared" si="3"/>
        <v>Nieniarowski (12/06/2006 - 27/11/2006)</v>
      </c>
      <c r="AC242" s="51"/>
    </row>
    <row r="243" spans="1:29" x14ac:dyDescent="0.2">
      <c r="A243" s="3">
        <v>47</v>
      </c>
      <c r="B243" s="2" t="s">
        <v>86</v>
      </c>
      <c r="C243" s="3">
        <v>96</v>
      </c>
      <c r="D243" s="2" t="s">
        <v>165</v>
      </c>
      <c r="E243" s="160">
        <v>39136</v>
      </c>
      <c r="F243" s="2"/>
      <c r="G243" s="3">
        <v>490</v>
      </c>
      <c r="H243" s="2" t="s">
        <v>29</v>
      </c>
      <c r="I243" s="2" t="s">
        <v>95</v>
      </c>
      <c r="J243" s="3">
        <v>10</v>
      </c>
      <c r="K243" s="2" t="s">
        <v>96</v>
      </c>
      <c r="L243" s="2" t="s">
        <v>97</v>
      </c>
      <c r="AB243" t="str">
        <f t="shared" si="3"/>
        <v>Valverde (23/02/2007 - present)</v>
      </c>
    </row>
    <row r="244" spans="1:29" x14ac:dyDescent="0.2">
      <c r="A244" s="3">
        <v>47</v>
      </c>
      <c r="B244" s="2" t="s">
        <v>86</v>
      </c>
      <c r="C244" s="3">
        <v>73</v>
      </c>
      <c r="D244" s="2" t="s">
        <v>166</v>
      </c>
      <c r="E244" s="160">
        <v>38208</v>
      </c>
      <c r="F244" s="160">
        <v>39059</v>
      </c>
      <c r="G244" s="3">
        <v>438.48</v>
      </c>
      <c r="H244" s="2" t="s">
        <v>28</v>
      </c>
      <c r="I244" s="2" t="s">
        <v>104</v>
      </c>
      <c r="J244" s="3">
        <v>10</v>
      </c>
      <c r="K244" s="2" t="s">
        <v>96</v>
      </c>
      <c r="L244" s="2" t="s">
        <v>97</v>
      </c>
      <c r="AB244" t="str">
        <f t="shared" si="3"/>
        <v>Penfold (09/08/2004 - 08/12/2006)</v>
      </c>
    </row>
    <row r="245" spans="1:29" x14ac:dyDescent="0.2">
      <c r="A245" s="3">
        <v>48</v>
      </c>
      <c r="B245" s="2" t="s">
        <v>111</v>
      </c>
      <c r="C245" s="3">
        <v>239</v>
      </c>
      <c r="D245" s="2" t="s">
        <v>355</v>
      </c>
      <c r="E245" s="160">
        <v>41561</v>
      </c>
      <c r="F245" s="2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1"/>
      <c r="N245" s="51"/>
      <c r="O245" s="51"/>
      <c r="P245" s="51"/>
      <c r="Q245" s="51"/>
      <c r="R245" s="51"/>
      <c r="S245" s="51"/>
      <c r="T245" s="51"/>
      <c r="U245" s="51"/>
      <c r="V245" s="51"/>
      <c r="W245" s="51"/>
      <c r="X245" s="51"/>
      <c r="Y245" s="51"/>
      <c r="Z245" s="51"/>
      <c r="AA245" s="53"/>
      <c r="AB245" s="51" t="str">
        <f t="shared" si="3"/>
        <v>Mr Radzevics (14/10/2013 - present)</v>
      </c>
      <c r="AC245" s="51"/>
    </row>
    <row r="246" spans="1:29" x14ac:dyDescent="0.2">
      <c r="A246" s="3">
        <v>48</v>
      </c>
      <c r="B246" s="2" t="s">
        <v>111</v>
      </c>
      <c r="C246" s="3">
        <v>177</v>
      </c>
      <c r="D246" s="2" t="s">
        <v>297</v>
      </c>
      <c r="E246" s="160">
        <v>40338</v>
      </c>
      <c r="F246" s="160">
        <v>41495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t="shared" si="3"/>
        <v>J Dee (09/06/2010 - 09/08/2013)</v>
      </c>
    </row>
    <row r="247" spans="1:29" x14ac:dyDescent="0.2">
      <c r="A247" s="3">
        <v>48</v>
      </c>
      <c r="B247" s="2" t="s">
        <v>111</v>
      </c>
      <c r="C247" s="3">
        <v>153</v>
      </c>
      <c r="D247" s="2" t="s">
        <v>270</v>
      </c>
      <c r="E247" s="160">
        <v>39940</v>
      </c>
      <c r="F247" s="160">
        <v>40123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t="shared" si="3"/>
        <v>Miss Misson &amp; Mr Plummer (07/05/2009 - 06/11/2009)</v>
      </c>
    </row>
    <row r="248" spans="1:29" x14ac:dyDescent="0.2">
      <c r="A248" s="3">
        <v>48</v>
      </c>
      <c r="B248" s="2" t="s">
        <v>111</v>
      </c>
      <c r="C248" s="3">
        <v>139</v>
      </c>
      <c r="D248" s="2" t="s">
        <v>271</v>
      </c>
      <c r="E248" s="160">
        <v>39701</v>
      </c>
      <c r="F248" s="160">
        <v>39913</v>
      </c>
      <c r="G248" s="3">
        <v>460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t="shared" si="3"/>
        <v>Alex Asagba (10/09/2008 - 10/04/2009)</v>
      </c>
    </row>
    <row r="249" spans="1:29" x14ac:dyDescent="0.2">
      <c r="A249" s="3">
        <v>48</v>
      </c>
      <c r="B249" s="2" t="s">
        <v>111</v>
      </c>
      <c r="C249" s="3">
        <v>66</v>
      </c>
      <c r="D249" s="2" t="s">
        <v>230</v>
      </c>
      <c r="E249" s="160">
        <v>37639</v>
      </c>
      <c r="F249" s="160">
        <v>39645</v>
      </c>
      <c r="G249" s="3">
        <v>475</v>
      </c>
      <c r="H249" s="2" t="s">
        <v>29</v>
      </c>
      <c r="I249" s="2" t="s">
        <v>197</v>
      </c>
      <c r="J249" s="3">
        <v>0</v>
      </c>
      <c r="K249" s="2" t="s">
        <v>175</v>
      </c>
      <c r="L249" s="2" t="s">
        <v>101</v>
      </c>
      <c r="AB249" t="str">
        <f t="shared" si="3"/>
        <v>Miss Claire Butcher (18/01/2003 - 16/07/2008)</v>
      </c>
    </row>
    <row r="250" spans="1:29" s="51" customFormat="1" x14ac:dyDescent="0.2">
      <c r="A250" s="3">
        <v>49</v>
      </c>
      <c r="B250" s="2" t="s">
        <v>231</v>
      </c>
      <c r="C250" s="3">
        <v>792</v>
      </c>
      <c r="D250" s="2" t="s">
        <v>604</v>
      </c>
      <c r="E250" s="160">
        <v>43733</v>
      </c>
      <c r="F250" s="2"/>
      <c r="G250" s="3">
        <v>600</v>
      </c>
      <c r="H250" s="2" t="s">
        <v>29</v>
      </c>
      <c r="I250" s="2" t="s">
        <v>562</v>
      </c>
      <c r="J250" s="3">
        <v>6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t="shared" si="3"/>
        <v>Michael Betts (25/09/2019 - present)</v>
      </c>
      <c r="AC250"/>
    </row>
    <row r="251" spans="1:29" s="51" customFormat="1" x14ac:dyDescent="0.2">
      <c r="A251" s="3">
        <v>49</v>
      </c>
      <c r="B251" s="2" t="s">
        <v>231</v>
      </c>
      <c r="C251" s="3">
        <v>775</v>
      </c>
      <c r="D251" s="2" t="s">
        <v>605</v>
      </c>
      <c r="E251" s="160">
        <v>43407</v>
      </c>
      <c r="F251" s="160">
        <v>43710</v>
      </c>
      <c r="G251" s="3">
        <v>0</v>
      </c>
      <c r="H251" s="2" t="s">
        <v>29</v>
      </c>
      <c r="I251" s="2" t="s">
        <v>562</v>
      </c>
      <c r="J251" s="3">
        <v>6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t="shared" si="3"/>
        <v>Charles Ponan (03/11/2018 - 02/09/2019)</v>
      </c>
      <c r="AC251"/>
    </row>
    <row r="252" spans="1:29" s="51" customFormat="1" x14ac:dyDescent="0.2">
      <c r="A252" s="3">
        <v>49</v>
      </c>
      <c r="B252" s="2" t="s">
        <v>231</v>
      </c>
      <c r="C252" s="3">
        <v>248</v>
      </c>
      <c r="D252" s="2" t="s">
        <v>372</v>
      </c>
      <c r="E252" s="160">
        <v>41838</v>
      </c>
      <c r="F252" s="160">
        <v>43336</v>
      </c>
      <c r="G252" s="3">
        <v>500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t="shared" si="3"/>
        <v>Mr P Oakwell (18/07/2014 - 24/08/2018)</v>
      </c>
      <c r="AC252"/>
    </row>
    <row r="253" spans="1:29" s="51" customFormat="1" x14ac:dyDescent="0.2">
      <c r="A253" s="3">
        <v>49</v>
      </c>
      <c r="B253" s="2" t="s">
        <v>231</v>
      </c>
      <c r="C253" s="3">
        <v>199</v>
      </c>
      <c r="D253" s="2" t="s">
        <v>317</v>
      </c>
      <c r="E253" s="160">
        <v>40609</v>
      </c>
      <c r="F253" s="160">
        <v>41766</v>
      </c>
      <c r="G253" s="3">
        <v>500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t="shared" si="3"/>
        <v>S. Porter (07/03/2011 - 07/05/2014)</v>
      </c>
      <c r="AC253"/>
    </row>
    <row r="254" spans="1:29" s="51" customFormat="1" x14ac:dyDescent="0.2">
      <c r="A254" s="3">
        <v>49</v>
      </c>
      <c r="B254" s="2" t="s">
        <v>231</v>
      </c>
      <c r="C254" s="3">
        <v>182</v>
      </c>
      <c r="D254" s="2" t="s">
        <v>306</v>
      </c>
      <c r="E254" s="160">
        <v>40387</v>
      </c>
      <c r="F254" s="160">
        <v>40601</v>
      </c>
      <c r="G254" s="3">
        <v>500</v>
      </c>
      <c r="H254" s="2" t="s">
        <v>29</v>
      </c>
      <c r="I254" s="2" t="s">
        <v>95</v>
      </c>
      <c r="J254" s="3">
        <v>10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t="shared" si="3"/>
        <v>Mr I Tewelderbrham (28/07/2010 - 27/02/2011)</v>
      </c>
      <c r="AC254"/>
    </row>
    <row r="255" spans="1:29" s="51" customFormat="1" x14ac:dyDescent="0.2">
      <c r="A255" s="3">
        <v>49</v>
      </c>
      <c r="B255" s="2" t="s">
        <v>231</v>
      </c>
      <c r="C255" s="3">
        <v>129</v>
      </c>
      <c r="D255" s="2" t="s">
        <v>232</v>
      </c>
      <c r="E255" s="160">
        <v>39508</v>
      </c>
      <c r="F255" s="160">
        <v>40313</v>
      </c>
      <c r="G255" s="3">
        <v>450</v>
      </c>
      <c r="H255" s="2" t="s">
        <v>29</v>
      </c>
      <c r="I255" s="2" t="s">
        <v>197</v>
      </c>
      <c r="J255" s="3">
        <v>0</v>
      </c>
      <c r="K255" s="2" t="s">
        <v>175</v>
      </c>
      <c r="L255" s="2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t="shared" si="3"/>
        <v>Oakley (01/03/2008 - 15/05/2010)</v>
      </c>
      <c r="AC255"/>
    </row>
    <row r="256" spans="1:29" s="51" customFormat="1" x14ac:dyDescent="0.2">
      <c r="A256" s="3">
        <v>53</v>
      </c>
      <c r="B256" s="2" t="s">
        <v>70</v>
      </c>
      <c r="C256" s="3">
        <v>165</v>
      </c>
      <c r="D256" s="2" t="s">
        <v>285</v>
      </c>
      <c r="E256" s="160">
        <v>40137</v>
      </c>
      <c r="F256" s="2"/>
      <c r="G256" s="3">
        <v>500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t="shared" si="3"/>
        <v>Andrew England (20/11/2009 - present)</v>
      </c>
      <c r="AC256"/>
    </row>
    <row r="257" spans="1:29" x14ac:dyDescent="0.2">
      <c r="A257" s="3">
        <v>53</v>
      </c>
      <c r="B257" s="2" t="s">
        <v>70</v>
      </c>
      <c r="C257" s="3">
        <v>151</v>
      </c>
      <c r="D257" s="2" t="s">
        <v>269</v>
      </c>
      <c r="E257" s="160">
        <v>39895</v>
      </c>
      <c r="F257" s="160">
        <v>40081</v>
      </c>
      <c r="G257" s="3">
        <v>500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t="shared" si="3"/>
        <v>Lloyd Best (23/03/2009 - 25/09/2009)</v>
      </c>
    </row>
    <row r="258" spans="1:29" x14ac:dyDescent="0.2">
      <c r="A258" s="3">
        <v>53</v>
      </c>
      <c r="B258" s="2" t="s">
        <v>70</v>
      </c>
      <c r="C258" s="3">
        <v>113</v>
      </c>
      <c r="D258" s="2" t="s">
        <v>195</v>
      </c>
      <c r="E258" s="160">
        <v>39384</v>
      </c>
      <c r="F258" s="160">
        <v>39872</v>
      </c>
      <c r="G258" s="3">
        <v>480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t="shared" si="3"/>
        <v>Fischer (29/10/2007 - 28/02/2009)</v>
      </c>
    </row>
    <row r="259" spans="1:29" x14ac:dyDescent="0.2">
      <c r="A259" s="3">
        <v>53</v>
      </c>
      <c r="B259" s="2" t="s">
        <v>70</v>
      </c>
      <c r="C259" s="3">
        <v>86</v>
      </c>
      <c r="D259" s="2" t="s">
        <v>13</v>
      </c>
      <c r="E259" s="160">
        <v>39032</v>
      </c>
      <c r="F259" s="160">
        <v>39343</v>
      </c>
      <c r="G259" s="3">
        <v>460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t="shared" ref="AB259:AB322" si="4">IF(E259&lt;&gt;"",IF(F259="",D259&amp;" ("&amp;TEXT(E259,"dd/mm/yyyy")&amp;" - present)",D259&amp;" ("&amp;TEXT(E259,"dd/mm/yyyy")&amp;" - "&amp;TEXT(F259,"dd/mm/yyyy")&amp;")"),"")</f>
        <v>Jepp (11/11/2006 - 18/09/2007)</v>
      </c>
    </row>
    <row r="260" spans="1:29" x14ac:dyDescent="0.2">
      <c r="A260" s="3">
        <v>54</v>
      </c>
      <c r="B260" s="2" t="s">
        <v>71</v>
      </c>
      <c r="C260" s="3">
        <v>820</v>
      </c>
      <c r="D260" s="2" t="s">
        <v>606</v>
      </c>
      <c r="E260" s="160">
        <v>41339</v>
      </c>
      <c r="F260" s="2"/>
      <c r="G260" s="3">
        <v>500</v>
      </c>
      <c r="H260" s="2" t="s">
        <v>29</v>
      </c>
      <c r="I260" s="2" t="s">
        <v>562</v>
      </c>
      <c r="J260" s="3">
        <v>6</v>
      </c>
      <c r="K260" s="2" t="s">
        <v>96</v>
      </c>
      <c r="L260" s="2" t="s">
        <v>97</v>
      </c>
      <c r="AB260" t="str">
        <f t="shared" si="4"/>
        <v>Paul McIlwraith (06/03/2013 - present)</v>
      </c>
    </row>
    <row r="261" spans="1:29" x14ac:dyDescent="0.2">
      <c r="A261" s="3">
        <v>54</v>
      </c>
      <c r="B261" s="2" t="s">
        <v>71</v>
      </c>
      <c r="C261" s="3">
        <v>216</v>
      </c>
      <c r="D261" s="2" t="s">
        <v>333</v>
      </c>
      <c r="E261" s="160">
        <v>41033</v>
      </c>
      <c r="F261" s="160">
        <v>41333</v>
      </c>
      <c r="G261" s="3">
        <v>560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t="shared" si="4"/>
        <v>N Stephens &amp; S Smith (04/05/2012 - 28/02/2013)</v>
      </c>
    </row>
    <row r="262" spans="1:29" x14ac:dyDescent="0.2">
      <c r="A262" s="3">
        <v>54</v>
      </c>
      <c r="B262" s="2" t="s">
        <v>71</v>
      </c>
      <c r="C262" s="3">
        <v>185</v>
      </c>
      <c r="D262" s="2" t="s">
        <v>307</v>
      </c>
      <c r="E262" s="160">
        <v>40449</v>
      </c>
      <c r="F262" s="160">
        <v>40988</v>
      </c>
      <c r="G262" s="3">
        <v>560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t="shared" si="4"/>
        <v>Butt (28/09/2010 - 20/03/2012)</v>
      </c>
    </row>
    <row r="263" spans="1:29" x14ac:dyDescent="0.2">
      <c r="A263" s="3">
        <v>54</v>
      </c>
      <c r="B263" s="2" t="s">
        <v>71</v>
      </c>
      <c r="C263" s="3">
        <v>175</v>
      </c>
      <c r="D263" s="2" t="s">
        <v>295</v>
      </c>
      <c r="E263" s="160">
        <v>40319</v>
      </c>
      <c r="F263" s="160">
        <v>40390</v>
      </c>
      <c r="G263" s="3">
        <v>580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t="shared" si="4"/>
        <v>Barber &amp; Talley (21/05/2010 - 31/07/2010)</v>
      </c>
    </row>
    <row r="264" spans="1:29" x14ac:dyDescent="0.2">
      <c r="A264" s="3">
        <v>54</v>
      </c>
      <c r="B264" s="2" t="s">
        <v>71</v>
      </c>
      <c r="C264" s="3">
        <v>77</v>
      </c>
      <c r="D264" s="2" t="s">
        <v>14</v>
      </c>
      <c r="E264" s="160">
        <v>39015</v>
      </c>
      <c r="F264" s="160">
        <v>40234</v>
      </c>
      <c r="G264" s="3">
        <v>550</v>
      </c>
      <c r="H264" s="2" t="s">
        <v>29</v>
      </c>
      <c r="I264" s="2" t="s">
        <v>95</v>
      </c>
      <c r="J264" s="3">
        <v>10</v>
      </c>
      <c r="K264" s="2" t="s">
        <v>96</v>
      </c>
      <c r="L264" s="2" t="s">
        <v>97</v>
      </c>
      <c r="AB264" t="str">
        <f t="shared" si="4"/>
        <v>McPake (25/10/2006 - 25/02/2010)</v>
      </c>
    </row>
    <row r="265" spans="1:29" x14ac:dyDescent="0.2">
      <c r="A265" s="3">
        <v>55</v>
      </c>
      <c r="B265" s="2" t="s">
        <v>72</v>
      </c>
      <c r="C265" s="3">
        <v>249</v>
      </c>
      <c r="D265" s="2" t="s">
        <v>364</v>
      </c>
      <c r="E265" s="160">
        <v>42082</v>
      </c>
      <c r="F265" s="2"/>
      <c r="G265" s="3">
        <v>500</v>
      </c>
      <c r="H265" s="2" t="s">
        <v>29</v>
      </c>
      <c r="I265" s="2" t="s">
        <v>95</v>
      </c>
      <c r="J265" s="3">
        <v>10</v>
      </c>
      <c r="K265" s="2" t="s">
        <v>96</v>
      </c>
      <c r="L265" s="2" t="s">
        <v>97</v>
      </c>
      <c r="M265" s="51"/>
      <c r="N265" s="51"/>
      <c r="O265" s="51"/>
      <c r="P265" s="51"/>
      <c r="Q265" s="51"/>
      <c r="R265" s="51"/>
      <c r="S265" s="51"/>
      <c r="T265" s="51"/>
      <c r="U265" s="51"/>
      <c r="V265" s="51"/>
      <c r="W265" s="51"/>
      <c r="X265" s="51"/>
      <c r="Y265" s="51"/>
      <c r="Z265" s="51"/>
      <c r="AA265" s="53"/>
      <c r="AB265" s="51" t="str">
        <f t="shared" si="4"/>
        <v>Mr Milligan (19/03/2015 - present)</v>
      </c>
      <c r="AC265" s="51"/>
    </row>
    <row r="266" spans="1:29" x14ac:dyDescent="0.2">
      <c r="A266" s="3">
        <v>55</v>
      </c>
      <c r="B266" s="2" t="s">
        <v>72</v>
      </c>
      <c r="C266" s="3">
        <v>243</v>
      </c>
      <c r="D266" s="2" t="s">
        <v>358</v>
      </c>
      <c r="E266" s="160">
        <v>41675</v>
      </c>
      <c r="F266" s="160">
        <v>42009</v>
      </c>
      <c r="G266" s="3">
        <v>500</v>
      </c>
      <c r="H266" s="2" t="s">
        <v>29</v>
      </c>
      <c r="I266" s="2" t="s">
        <v>95</v>
      </c>
      <c r="J266" s="3">
        <v>10</v>
      </c>
      <c r="K266" s="2" t="s">
        <v>96</v>
      </c>
      <c r="L266" s="2" t="s">
        <v>97</v>
      </c>
      <c r="AB266" t="str">
        <f t="shared" si="4"/>
        <v>Mr Lodge (05/02/2014 - 05/01/2015)</v>
      </c>
    </row>
    <row r="267" spans="1:29" x14ac:dyDescent="0.2">
      <c r="A267" s="3">
        <v>55</v>
      </c>
      <c r="B267" s="2" t="s">
        <v>72</v>
      </c>
      <c r="C267" s="3">
        <v>231</v>
      </c>
      <c r="D267" s="2" t="s">
        <v>353</v>
      </c>
      <c r="E267" s="160">
        <v>41372</v>
      </c>
      <c r="F267" s="160">
        <v>41639</v>
      </c>
      <c r="G267" s="3">
        <v>500</v>
      </c>
      <c r="H267" s="2" t="s">
        <v>29</v>
      </c>
      <c r="I267" s="2" t="s">
        <v>95</v>
      </c>
      <c r="J267" s="3">
        <v>10</v>
      </c>
      <c r="K267" s="2" t="s">
        <v>96</v>
      </c>
      <c r="L267" s="2" t="s">
        <v>97</v>
      </c>
      <c r="AB267" t="str">
        <f t="shared" si="4"/>
        <v>Ms McLachlan (08/04/2013 - 31/12/2013)</v>
      </c>
    </row>
    <row r="268" spans="1:29" x14ac:dyDescent="0.2">
      <c r="A268" s="3">
        <v>55</v>
      </c>
      <c r="B268" s="2" t="s">
        <v>72</v>
      </c>
      <c r="C268" s="3">
        <v>70</v>
      </c>
      <c r="D268" s="2" t="s">
        <v>15</v>
      </c>
      <c r="E268" s="160">
        <v>38926</v>
      </c>
      <c r="F268" s="160">
        <v>41364</v>
      </c>
      <c r="G268" s="3">
        <v>495</v>
      </c>
      <c r="H268" s="2" t="s">
        <v>29</v>
      </c>
      <c r="I268" s="2" t="s">
        <v>95</v>
      </c>
      <c r="J268" s="3">
        <v>10</v>
      </c>
      <c r="K268" s="2" t="s">
        <v>96</v>
      </c>
      <c r="L268" s="2" t="s">
        <v>97</v>
      </c>
      <c r="AB268" t="str">
        <f t="shared" si="4"/>
        <v>B. Flemming (28/07/2006 - 31/03/2013)</v>
      </c>
    </row>
    <row r="269" spans="1:29" x14ac:dyDescent="0.2">
      <c r="A269" s="3">
        <v>45</v>
      </c>
      <c r="B269" s="2" t="s">
        <v>145</v>
      </c>
      <c r="C269" s="2"/>
      <c r="D269" s="2"/>
      <c r="E269" s="2"/>
      <c r="F269" s="2"/>
      <c r="G269" s="2"/>
      <c r="H269" s="2"/>
      <c r="I269" s="2"/>
      <c r="J269" s="2"/>
      <c r="K269" s="2"/>
      <c r="L269" s="2"/>
      <c r="AB269" t="str">
        <f t="shared" si="4"/>
        <v/>
      </c>
    </row>
    <row r="270" spans="1:29" x14ac:dyDescent="0.2">
      <c r="A270" s="3">
        <v>61</v>
      </c>
      <c r="B270" s="2" t="s">
        <v>233</v>
      </c>
      <c r="C270" s="2"/>
      <c r="D270" s="2"/>
      <c r="E270" s="2"/>
      <c r="F270" s="2"/>
      <c r="G270" s="2"/>
      <c r="H270" s="2"/>
      <c r="I270" s="2"/>
      <c r="J270" s="2"/>
      <c r="K270" s="2"/>
      <c r="L270" s="2"/>
      <c r="AB270" t="str">
        <f t="shared" si="4"/>
        <v/>
      </c>
    </row>
    <row r="271" spans="1:29" x14ac:dyDescent="0.2">
      <c r="A271" s="3">
        <v>61</v>
      </c>
      <c r="B271" s="2" t="s">
        <v>146</v>
      </c>
      <c r="C271" s="2"/>
      <c r="D271" s="2"/>
      <c r="E271" s="2"/>
      <c r="F271" s="2"/>
      <c r="G271" s="2"/>
      <c r="H271" s="2"/>
      <c r="I271" s="2"/>
      <c r="J271" s="2"/>
      <c r="K271" s="2"/>
      <c r="L271" s="2"/>
      <c r="AB271" t="str">
        <f t="shared" si="4"/>
        <v/>
      </c>
    </row>
    <row r="272" spans="1:29" x14ac:dyDescent="0.2">
      <c r="A272" s="3">
        <v>61</v>
      </c>
      <c r="B272" s="2" t="s">
        <v>147</v>
      </c>
      <c r="C272" s="2"/>
      <c r="D272" s="2"/>
      <c r="E272" s="2"/>
      <c r="F272" s="2"/>
      <c r="G272" s="2"/>
      <c r="H272" s="2"/>
      <c r="I272" s="2"/>
      <c r="J272" s="2"/>
      <c r="K272" s="2"/>
      <c r="L272" s="2"/>
      <c r="AB272" t="str">
        <f t="shared" si="4"/>
        <v/>
      </c>
    </row>
    <row r="273" spans="1:28" x14ac:dyDescent="0.2">
      <c r="A273" s="3">
        <v>66</v>
      </c>
      <c r="B273" s="2" t="s">
        <v>73</v>
      </c>
      <c r="C273" s="3">
        <v>847</v>
      </c>
      <c r="D273" s="2" t="s">
        <v>782</v>
      </c>
      <c r="E273" s="160">
        <v>44379</v>
      </c>
      <c r="F273" s="2"/>
      <c r="G273" s="3">
        <v>850</v>
      </c>
      <c r="H273" s="2" t="s">
        <v>29</v>
      </c>
      <c r="I273" s="2" t="s">
        <v>130</v>
      </c>
      <c r="J273" s="3">
        <v>0</v>
      </c>
      <c r="K273" s="2" t="s">
        <v>175</v>
      </c>
      <c r="L273" s="2" t="s">
        <v>101</v>
      </c>
      <c r="AB273" t="str">
        <f t="shared" si="4"/>
        <v>Gary Fyles (02/07/2021 - present)</v>
      </c>
    </row>
    <row r="274" spans="1:28" x14ac:dyDescent="0.2">
      <c r="A274" s="3">
        <v>66</v>
      </c>
      <c r="B274" s="2" t="s">
        <v>73</v>
      </c>
      <c r="C274" s="3">
        <v>795</v>
      </c>
      <c r="D274" s="2" t="s">
        <v>607</v>
      </c>
      <c r="E274" s="160">
        <v>43768</v>
      </c>
      <c r="F274" s="160">
        <v>44378</v>
      </c>
      <c r="G274" s="3">
        <v>675</v>
      </c>
      <c r="H274" s="2" t="s">
        <v>29</v>
      </c>
      <c r="I274" s="2" t="s">
        <v>130</v>
      </c>
      <c r="J274" s="3">
        <v>0</v>
      </c>
      <c r="K274" s="2" t="s">
        <v>175</v>
      </c>
      <c r="L274" s="2" t="s">
        <v>101</v>
      </c>
      <c r="AB274" t="str">
        <f t="shared" si="4"/>
        <v>Bianca Vintila (30/10/2019 - 01/07/2021)</v>
      </c>
    </row>
    <row r="275" spans="1:28" x14ac:dyDescent="0.2">
      <c r="A275" s="3">
        <v>66</v>
      </c>
      <c r="B275" s="2" t="s">
        <v>73</v>
      </c>
      <c r="C275" s="3">
        <v>246</v>
      </c>
      <c r="D275" s="2" t="s">
        <v>370</v>
      </c>
      <c r="E275" s="160">
        <v>42160</v>
      </c>
      <c r="F275" s="160">
        <v>43532</v>
      </c>
      <c r="G275" s="3">
        <v>650</v>
      </c>
      <c r="H275" s="2" t="s">
        <v>29</v>
      </c>
      <c r="I275" s="2" t="s">
        <v>95</v>
      </c>
      <c r="J275" s="3">
        <v>10</v>
      </c>
      <c r="K275" s="2" t="s">
        <v>96</v>
      </c>
      <c r="L275" s="2" t="s">
        <v>97</v>
      </c>
      <c r="AB275" t="str">
        <f t="shared" si="4"/>
        <v>Mr K Conrad &amp; Mr J Fishwick (05/06/2015 - 08/03/2019)</v>
      </c>
    </row>
    <row r="276" spans="1:28" x14ac:dyDescent="0.2">
      <c r="A276" s="3">
        <v>66</v>
      </c>
      <c r="B276" s="2" t="s">
        <v>73</v>
      </c>
      <c r="C276" s="3">
        <v>202</v>
      </c>
      <c r="D276" s="2" t="s">
        <v>320</v>
      </c>
      <c r="E276" s="160">
        <v>40718</v>
      </c>
      <c r="F276" s="160">
        <v>42059</v>
      </c>
      <c r="G276" s="3">
        <v>560</v>
      </c>
      <c r="H276" s="2" t="s">
        <v>29</v>
      </c>
      <c r="I276" s="2" t="s">
        <v>95</v>
      </c>
      <c r="J276" s="3">
        <v>10</v>
      </c>
      <c r="K276" s="2" t="s">
        <v>96</v>
      </c>
      <c r="L276" s="2" t="s">
        <v>97</v>
      </c>
      <c r="AB276" t="str">
        <f t="shared" si="4"/>
        <v>Mr Alfie &amp; Mr Lloyd Jeans (24/06/2011 - 24/02/2015)</v>
      </c>
    </row>
    <row r="277" spans="1:28" x14ac:dyDescent="0.2">
      <c r="A277" s="3">
        <v>66</v>
      </c>
      <c r="B277" s="2" t="s">
        <v>73</v>
      </c>
      <c r="C277" s="3">
        <v>189</v>
      </c>
      <c r="D277" s="2" t="s">
        <v>308</v>
      </c>
      <c r="E277" s="160">
        <v>40462</v>
      </c>
      <c r="F277" s="160">
        <v>40704</v>
      </c>
      <c r="G277" s="3">
        <v>560</v>
      </c>
      <c r="H277" s="2" t="s">
        <v>29</v>
      </c>
      <c r="I277" s="2" t="s">
        <v>95</v>
      </c>
      <c r="J277" s="3">
        <v>10</v>
      </c>
      <c r="K277" s="2" t="s">
        <v>96</v>
      </c>
      <c r="L277" s="2" t="s">
        <v>97</v>
      </c>
      <c r="AB277" t="str">
        <f t="shared" si="4"/>
        <v>K Harris (11/10/2010 - 10/06/2011)</v>
      </c>
    </row>
    <row r="278" spans="1:28" x14ac:dyDescent="0.2">
      <c r="A278" s="3">
        <v>66</v>
      </c>
      <c r="B278" s="2" t="s">
        <v>73</v>
      </c>
      <c r="C278" s="3">
        <v>172</v>
      </c>
      <c r="D278" s="2" t="s">
        <v>288</v>
      </c>
      <c r="E278" s="160">
        <v>40186</v>
      </c>
      <c r="F278" s="160">
        <v>40391</v>
      </c>
      <c r="G278" s="3">
        <v>580</v>
      </c>
      <c r="H278" s="2" t="s">
        <v>29</v>
      </c>
      <c r="I278" s="2" t="s">
        <v>95</v>
      </c>
      <c r="J278" s="3">
        <v>10</v>
      </c>
      <c r="K278" s="2" t="s">
        <v>96</v>
      </c>
      <c r="L278" s="2" t="s">
        <v>97</v>
      </c>
      <c r="AB278" t="str">
        <f t="shared" si="4"/>
        <v>Kirsty Taylor &amp; Millie Barber (08/01/2010 - 01/08/2010)</v>
      </c>
    </row>
    <row r="279" spans="1:28" x14ac:dyDescent="0.2">
      <c r="A279" s="3">
        <v>66</v>
      </c>
      <c r="B279" s="2" t="s">
        <v>73</v>
      </c>
      <c r="C279" s="3">
        <v>78</v>
      </c>
      <c r="D279" s="2" t="s">
        <v>18</v>
      </c>
      <c r="E279" s="160">
        <v>38985</v>
      </c>
      <c r="F279" s="160">
        <v>40111</v>
      </c>
      <c r="G279" s="3">
        <v>530</v>
      </c>
      <c r="H279" s="2" t="s">
        <v>29</v>
      </c>
      <c r="I279" s="2" t="s">
        <v>95</v>
      </c>
      <c r="J279" s="3">
        <v>10</v>
      </c>
      <c r="K279" s="2" t="s">
        <v>96</v>
      </c>
      <c r="L279" s="2" t="s">
        <v>97</v>
      </c>
      <c r="AB279" t="str">
        <f t="shared" si="4"/>
        <v>A. McCowen  Ierston (25/09/2006 - 25/10/2009)</v>
      </c>
    </row>
    <row r="280" spans="1:28" x14ac:dyDescent="0.2">
      <c r="A280" s="3">
        <v>67</v>
      </c>
      <c r="B280" s="2" t="s">
        <v>112</v>
      </c>
      <c r="C280" s="3">
        <v>810</v>
      </c>
      <c r="D280" s="2" t="s">
        <v>609</v>
      </c>
      <c r="E280" s="160">
        <v>43845</v>
      </c>
      <c r="F280" s="2"/>
      <c r="G280" s="3">
        <v>640</v>
      </c>
      <c r="H280" s="2" t="s">
        <v>29</v>
      </c>
      <c r="I280" s="2" t="s">
        <v>130</v>
      </c>
      <c r="J280" s="3">
        <v>0</v>
      </c>
      <c r="K280" s="2" t="s">
        <v>175</v>
      </c>
      <c r="L280" s="2" t="s">
        <v>101</v>
      </c>
      <c r="AB280" t="str">
        <f t="shared" si="4"/>
        <v>Bria Barber and Mr Shawn Griffiths (15/01/2020 - present)</v>
      </c>
    </row>
    <row r="281" spans="1:28" x14ac:dyDescent="0.2">
      <c r="A281" s="3">
        <v>67</v>
      </c>
      <c r="B281" s="2" t="s">
        <v>112</v>
      </c>
      <c r="C281" s="3">
        <v>767</v>
      </c>
      <c r="D281" s="2" t="s">
        <v>611</v>
      </c>
      <c r="E281" s="160">
        <v>43159</v>
      </c>
      <c r="F281" s="160">
        <v>43683</v>
      </c>
      <c r="G281" s="3">
        <v>0</v>
      </c>
      <c r="H281" s="2" t="s">
        <v>29</v>
      </c>
      <c r="I281" s="2" t="s">
        <v>562</v>
      </c>
      <c r="J281" s="3">
        <v>6</v>
      </c>
      <c r="K281" s="2" t="s">
        <v>96</v>
      </c>
      <c r="L281" s="2" t="s">
        <v>97</v>
      </c>
      <c r="AB281" t="str">
        <f t="shared" si="4"/>
        <v>Julie Betteridge (28/02/2018 - 06/08/2019)</v>
      </c>
    </row>
    <row r="282" spans="1:28" x14ac:dyDescent="0.2">
      <c r="A282" s="3">
        <v>67</v>
      </c>
      <c r="B282" s="2" t="s">
        <v>112</v>
      </c>
      <c r="C282" s="3">
        <v>179</v>
      </c>
      <c r="D282" s="2" t="s">
        <v>298</v>
      </c>
      <c r="E282" s="160">
        <v>40350</v>
      </c>
      <c r="F282" s="160">
        <v>42875</v>
      </c>
      <c r="G282" s="3">
        <v>500</v>
      </c>
      <c r="H282" s="2" t="s">
        <v>29</v>
      </c>
      <c r="I282" s="2" t="s">
        <v>95</v>
      </c>
      <c r="J282" s="3">
        <v>10</v>
      </c>
      <c r="K282" s="2" t="s">
        <v>96</v>
      </c>
      <c r="L282" s="2" t="s">
        <v>97</v>
      </c>
      <c r="AB282" t="str">
        <f t="shared" si="4"/>
        <v>C Stark (21/06/2010 - 20/05/2017)</v>
      </c>
    </row>
    <row r="283" spans="1:28" x14ac:dyDescent="0.2">
      <c r="A283" s="3">
        <v>67</v>
      </c>
      <c r="B283" s="2" t="s">
        <v>112</v>
      </c>
      <c r="C283" s="3">
        <v>114</v>
      </c>
      <c r="D283" s="2" t="s">
        <v>198</v>
      </c>
      <c r="E283" s="160">
        <v>39396</v>
      </c>
      <c r="F283" s="160">
        <v>40339</v>
      </c>
      <c r="G283" s="3">
        <v>425</v>
      </c>
      <c r="H283" s="2" t="s">
        <v>29</v>
      </c>
      <c r="I283" s="2" t="s">
        <v>197</v>
      </c>
      <c r="J283" s="3">
        <v>0</v>
      </c>
      <c r="K283" s="2" t="s">
        <v>175</v>
      </c>
      <c r="L283" s="2" t="s">
        <v>101</v>
      </c>
      <c r="AB283" t="str">
        <f t="shared" si="4"/>
        <v>Holly Reeves (10/11/2007 - 10/06/2010)</v>
      </c>
    </row>
    <row r="284" spans="1:28" x14ac:dyDescent="0.2">
      <c r="A284" s="3">
        <v>67</v>
      </c>
      <c r="B284" s="2" t="s">
        <v>112</v>
      </c>
      <c r="C284" s="3">
        <v>81</v>
      </c>
      <c r="D284" s="2" t="s">
        <v>113</v>
      </c>
      <c r="E284" s="160">
        <v>38485</v>
      </c>
      <c r="F284" s="160">
        <v>39355</v>
      </c>
      <c r="G284" s="3">
        <v>395</v>
      </c>
      <c r="H284" s="2" t="s">
        <v>29</v>
      </c>
      <c r="I284" s="2" t="s">
        <v>116</v>
      </c>
      <c r="J284" s="3">
        <v>10</v>
      </c>
      <c r="K284" s="2" t="s">
        <v>96</v>
      </c>
      <c r="L284" s="2" t="s">
        <v>97</v>
      </c>
      <c r="AB284" t="str">
        <f t="shared" si="4"/>
        <v>Moss (13/05/2005 - 30/09/2007)</v>
      </c>
    </row>
    <row r="285" spans="1:28" x14ac:dyDescent="0.2">
      <c r="A285" s="3">
        <v>63</v>
      </c>
      <c r="B285" s="2" t="s">
        <v>115</v>
      </c>
      <c r="C285" s="3">
        <v>167</v>
      </c>
      <c r="D285" s="2" t="s">
        <v>286</v>
      </c>
      <c r="E285" s="160">
        <v>40158</v>
      </c>
      <c r="F285" s="2"/>
      <c r="G285" s="3">
        <v>500</v>
      </c>
      <c r="H285" s="2" t="s">
        <v>29</v>
      </c>
      <c r="I285" s="2" t="s">
        <v>95</v>
      </c>
      <c r="J285" s="3">
        <v>10</v>
      </c>
      <c r="K285" s="2" t="s">
        <v>96</v>
      </c>
      <c r="L285" s="2" t="s">
        <v>97</v>
      </c>
      <c r="AB285" t="str">
        <f t="shared" si="4"/>
        <v>Taperek (11/12/2009 - present)</v>
      </c>
    </row>
    <row r="286" spans="1:28" x14ac:dyDescent="0.2">
      <c r="A286" s="3">
        <v>63</v>
      </c>
      <c r="B286" s="2" t="s">
        <v>115</v>
      </c>
      <c r="C286" s="3">
        <v>148</v>
      </c>
      <c r="D286" s="2" t="s">
        <v>265</v>
      </c>
      <c r="E286" s="160">
        <v>39787</v>
      </c>
      <c r="F286" s="160">
        <v>40127</v>
      </c>
      <c r="G286" s="3">
        <v>500</v>
      </c>
      <c r="H286" s="2" t="s">
        <v>29</v>
      </c>
      <c r="I286" s="2" t="s">
        <v>95</v>
      </c>
      <c r="J286" s="3">
        <v>10</v>
      </c>
      <c r="K286" s="2" t="s">
        <v>96</v>
      </c>
      <c r="L286" s="2" t="s">
        <v>97</v>
      </c>
      <c r="AB286" t="str">
        <f t="shared" si="4"/>
        <v>Sally Miller (05/12/2008 - 10/11/2009)</v>
      </c>
    </row>
    <row r="287" spans="1:28" x14ac:dyDescent="0.2">
      <c r="A287" s="3">
        <v>63</v>
      </c>
      <c r="B287" s="2" t="s">
        <v>115</v>
      </c>
      <c r="C287" s="3">
        <v>109</v>
      </c>
      <c r="D287" s="2" t="s">
        <v>192</v>
      </c>
      <c r="E287" s="160">
        <v>39304</v>
      </c>
      <c r="F287" s="160">
        <v>39761</v>
      </c>
      <c r="G287" s="3">
        <v>470</v>
      </c>
      <c r="H287" s="2" t="s">
        <v>29</v>
      </c>
      <c r="I287" s="2" t="s">
        <v>95</v>
      </c>
      <c r="J287" s="3">
        <v>10</v>
      </c>
      <c r="K287" s="2" t="s">
        <v>96</v>
      </c>
      <c r="L287" s="2" t="s">
        <v>97</v>
      </c>
      <c r="AB287" t="str">
        <f t="shared" si="4"/>
        <v>Thidar (10/08/2007 - 09/11/2008)</v>
      </c>
    </row>
    <row r="288" spans="1:28" x14ac:dyDescent="0.2">
      <c r="A288" s="3">
        <v>63</v>
      </c>
      <c r="B288" s="2" t="s">
        <v>115</v>
      </c>
      <c r="C288" s="3">
        <v>83</v>
      </c>
      <c r="D288" s="2" t="s">
        <v>182</v>
      </c>
      <c r="E288" s="160">
        <v>38848</v>
      </c>
      <c r="F288" s="160">
        <v>39247</v>
      </c>
      <c r="G288" s="3">
        <v>475</v>
      </c>
      <c r="H288" s="2" t="s">
        <v>29</v>
      </c>
      <c r="I288" s="2" t="s">
        <v>116</v>
      </c>
      <c r="J288" s="3">
        <v>10</v>
      </c>
      <c r="K288" s="2" t="s">
        <v>96</v>
      </c>
      <c r="L288" s="2" t="s">
        <v>97</v>
      </c>
      <c r="AB288" t="str">
        <f t="shared" si="4"/>
        <v>Barckowski (11/05/2006 - 14/06/2007)</v>
      </c>
    </row>
    <row r="289" spans="1:28" x14ac:dyDescent="0.2">
      <c r="A289" s="3">
        <v>68</v>
      </c>
      <c r="B289" s="2" t="s">
        <v>117</v>
      </c>
      <c r="C289" s="3">
        <v>848</v>
      </c>
      <c r="D289" s="2" t="s">
        <v>783</v>
      </c>
      <c r="E289" s="160">
        <v>44404</v>
      </c>
      <c r="F289" s="2"/>
      <c r="G289" s="3">
        <v>750</v>
      </c>
      <c r="H289" s="2" t="s">
        <v>29</v>
      </c>
      <c r="I289" s="2" t="s">
        <v>130</v>
      </c>
      <c r="J289" s="3">
        <v>0</v>
      </c>
      <c r="K289" s="2" t="s">
        <v>175</v>
      </c>
      <c r="L289" s="2" t="s">
        <v>101</v>
      </c>
      <c r="AB289" t="str">
        <f t="shared" si="4"/>
        <v>Habeel Zahur and Dr Fabia Fayyaz (27/07/2021 - present)</v>
      </c>
    </row>
    <row r="290" spans="1:28" x14ac:dyDescent="0.2">
      <c r="A290" s="3">
        <v>68</v>
      </c>
      <c r="B290" s="2" t="s">
        <v>117</v>
      </c>
      <c r="C290" s="3">
        <v>135</v>
      </c>
      <c r="D290" s="2" t="s">
        <v>254</v>
      </c>
      <c r="E290" s="160">
        <v>39546</v>
      </c>
      <c r="F290" s="160">
        <v>44131</v>
      </c>
      <c r="G290" s="3">
        <v>500</v>
      </c>
      <c r="H290" s="2" t="s">
        <v>29</v>
      </c>
      <c r="I290" s="2" t="s">
        <v>95</v>
      </c>
      <c r="J290" s="3">
        <v>10</v>
      </c>
      <c r="K290" s="2" t="s">
        <v>96</v>
      </c>
      <c r="L290" s="2" t="s">
        <v>97</v>
      </c>
      <c r="AB290" t="str">
        <f t="shared" si="4"/>
        <v>Mr A Young (08/04/2008 - 27/10/2020)</v>
      </c>
    </row>
    <row r="291" spans="1:28" x14ac:dyDescent="0.2">
      <c r="A291" s="3">
        <v>68</v>
      </c>
      <c r="B291" s="2" t="s">
        <v>117</v>
      </c>
      <c r="C291" s="3">
        <v>99</v>
      </c>
      <c r="D291" s="2" t="s">
        <v>170</v>
      </c>
      <c r="E291" s="160">
        <v>39177</v>
      </c>
      <c r="F291" s="160">
        <v>39512</v>
      </c>
      <c r="G291" s="3">
        <v>500</v>
      </c>
      <c r="H291" s="2" t="s">
        <v>29</v>
      </c>
      <c r="I291" s="2" t="s">
        <v>95</v>
      </c>
      <c r="J291" s="3">
        <v>10</v>
      </c>
      <c r="K291" s="2" t="s">
        <v>96</v>
      </c>
      <c r="L291" s="2" t="s">
        <v>97</v>
      </c>
      <c r="AB291" t="str">
        <f t="shared" si="4"/>
        <v>Hughes (05/04/2007 - 05/03/2008)</v>
      </c>
    </row>
    <row r="292" spans="1:28" x14ac:dyDescent="0.2">
      <c r="A292" s="3">
        <v>68</v>
      </c>
      <c r="B292" s="2" t="s">
        <v>117</v>
      </c>
      <c r="C292" s="3">
        <v>82</v>
      </c>
      <c r="D292" s="2" t="s">
        <v>171</v>
      </c>
      <c r="E292" s="160">
        <v>38490</v>
      </c>
      <c r="F292" s="160">
        <v>39132</v>
      </c>
      <c r="G292" s="3">
        <v>425</v>
      </c>
      <c r="H292" s="2" t="s">
        <v>29</v>
      </c>
      <c r="I292" s="2" t="s">
        <v>114</v>
      </c>
      <c r="J292" s="3">
        <v>8</v>
      </c>
      <c r="K292" s="2" t="s">
        <v>96</v>
      </c>
      <c r="L292" s="2" t="s">
        <v>101</v>
      </c>
      <c r="AB292" t="str">
        <f t="shared" si="4"/>
        <v>Hough (18/05/2005 - 19/02/2007)</v>
      </c>
    </row>
    <row r="293" spans="1:28" x14ac:dyDescent="0.2">
      <c r="A293" s="3">
        <v>64</v>
      </c>
      <c r="B293" s="2" t="s">
        <v>74</v>
      </c>
      <c r="C293" s="3">
        <v>757</v>
      </c>
      <c r="D293" s="2" t="s">
        <v>608</v>
      </c>
      <c r="E293" s="160">
        <v>42867</v>
      </c>
      <c r="F293" s="2"/>
      <c r="G293" s="3">
        <v>550</v>
      </c>
      <c r="H293" s="2" t="s">
        <v>29</v>
      </c>
      <c r="I293" s="2" t="s">
        <v>562</v>
      </c>
      <c r="J293" s="3">
        <v>6</v>
      </c>
      <c r="K293" s="2" t="s">
        <v>96</v>
      </c>
      <c r="L293" s="2" t="s">
        <v>97</v>
      </c>
      <c r="AB293" t="str">
        <f t="shared" si="4"/>
        <v>Sam Yates (12/05/2017 - present)</v>
      </c>
    </row>
    <row r="294" spans="1:28" x14ac:dyDescent="0.2">
      <c r="A294" s="3">
        <v>64</v>
      </c>
      <c r="B294" s="2" t="s">
        <v>74</v>
      </c>
      <c r="C294" s="3">
        <v>229</v>
      </c>
      <c r="D294" s="2" t="s">
        <v>347</v>
      </c>
      <c r="E294" s="160">
        <v>41387</v>
      </c>
      <c r="F294" s="160">
        <v>42816</v>
      </c>
      <c r="G294" s="3">
        <v>500</v>
      </c>
      <c r="H294" s="2" t="s">
        <v>29</v>
      </c>
      <c r="I294" s="2" t="s">
        <v>95</v>
      </c>
      <c r="J294" s="3">
        <v>10</v>
      </c>
      <c r="K294" s="2" t="s">
        <v>96</v>
      </c>
      <c r="L294" s="2" t="s">
        <v>97</v>
      </c>
      <c r="AB294" t="str">
        <f t="shared" si="4"/>
        <v>J Flegg (23/04/2013 - 22/03/2017)</v>
      </c>
    </row>
    <row r="295" spans="1:28" x14ac:dyDescent="0.2">
      <c r="A295" s="3">
        <v>64</v>
      </c>
      <c r="B295" s="2" t="s">
        <v>74</v>
      </c>
      <c r="C295" s="3">
        <v>150</v>
      </c>
      <c r="D295" s="2" t="s">
        <v>267</v>
      </c>
      <c r="E295" s="160">
        <v>39834</v>
      </c>
      <c r="F295" s="160">
        <v>41353</v>
      </c>
      <c r="G295" s="3">
        <v>500</v>
      </c>
      <c r="H295" s="2" t="s">
        <v>29</v>
      </c>
      <c r="I295" s="2" t="s">
        <v>95</v>
      </c>
      <c r="J295" s="3">
        <v>10</v>
      </c>
      <c r="K295" s="2" t="s">
        <v>96</v>
      </c>
      <c r="L295" s="2" t="s">
        <v>97</v>
      </c>
      <c r="AB295" t="str">
        <f t="shared" si="4"/>
        <v>Mrs Collins (21/01/2009 - 20/03/2013)</v>
      </c>
    </row>
    <row r="296" spans="1:28" x14ac:dyDescent="0.2">
      <c r="A296" s="3">
        <v>64</v>
      </c>
      <c r="B296" s="2" t="s">
        <v>74</v>
      </c>
      <c r="C296" s="3">
        <v>75</v>
      </c>
      <c r="D296" s="2" t="s">
        <v>88</v>
      </c>
      <c r="E296" s="160">
        <v>38855</v>
      </c>
      <c r="F296" s="160">
        <v>39833</v>
      </c>
      <c r="G296" s="3">
        <v>475</v>
      </c>
      <c r="H296" s="2" t="s">
        <v>29</v>
      </c>
      <c r="I296" s="2" t="s">
        <v>95</v>
      </c>
      <c r="J296" s="3">
        <v>10</v>
      </c>
      <c r="K296" s="2" t="s">
        <v>96</v>
      </c>
      <c r="L296" s="2" t="s">
        <v>97</v>
      </c>
      <c r="AB296" t="str">
        <f t="shared" si="4"/>
        <v>Russell (18/05/2006 - 20/01/2009)</v>
      </c>
    </row>
    <row r="297" spans="1:28" x14ac:dyDescent="0.2">
      <c r="A297" s="3">
        <v>71</v>
      </c>
      <c r="B297" s="2" t="s">
        <v>118</v>
      </c>
      <c r="C297" s="3">
        <v>277</v>
      </c>
      <c r="D297" s="2" t="s">
        <v>399</v>
      </c>
      <c r="E297" s="160">
        <v>42632</v>
      </c>
      <c r="F297" s="2"/>
      <c r="G297" s="3">
        <v>505</v>
      </c>
      <c r="H297" s="2" t="s">
        <v>29</v>
      </c>
      <c r="I297" s="2" t="s">
        <v>95</v>
      </c>
      <c r="J297" s="3">
        <v>10</v>
      </c>
      <c r="K297" s="2" t="s">
        <v>96</v>
      </c>
      <c r="L297" s="2" t="s">
        <v>97</v>
      </c>
      <c r="AB297" t="str">
        <f t="shared" si="4"/>
        <v>Mr Jason Passmore (19/09/2016 - present)</v>
      </c>
    </row>
    <row r="298" spans="1:28" x14ac:dyDescent="0.2">
      <c r="A298" s="3">
        <v>71</v>
      </c>
      <c r="B298" s="2" t="s">
        <v>118</v>
      </c>
      <c r="C298" s="3">
        <v>214</v>
      </c>
      <c r="D298" s="2" t="s">
        <v>331</v>
      </c>
      <c r="E298" s="160">
        <v>40988</v>
      </c>
      <c r="F298" s="160">
        <v>42582</v>
      </c>
      <c r="G298" s="3">
        <v>500</v>
      </c>
      <c r="H298" s="2" t="s">
        <v>29</v>
      </c>
      <c r="I298" s="2" t="s">
        <v>95</v>
      </c>
      <c r="J298" s="3">
        <v>10</v>
      </c>
      <c r="K298" s="2" t="s">
        <v>96</v>
      </c>
      <c r="L298" s="2" t="s">
        <v>97</v>
      </c>
      <c r="AB298" t="str">
        <f t="shared" si="4"/>
        <v>B Palmer (20/03/2012 - 31/07/2016)</v>
      </c>
    </row>
    <row r="299" spans="1:28" x14ac:dyDescent="0.2">
      <c r="A299" s="3">
        <v>71</v>
      </c>
      <c r="B299" s="2" t="s">
        <v>118</v>
      </c>
      <c r="C299" s="3">
        <v>128</v>
      </c>
      <c r="D299" s="2" t="s">
        <v>173</v>
      </c>
      <c r="E299" s="160">
        <v>39517</v>
      </c>
      <c r="F299" s="160">
        <v>40918</v>
      </c>
      <c r="G299" s="3">
        <v>480</v>
      </c>
      <c r="H299" s="2" t="s">
        <v>29</v>
      </c>
      <c r="I299" s="2" t="s">
        <v>95</v>
      </c>
      <c r="J299" s="3">
        <v>10</v>
      </c>
      <c r="K299" s="2" t="s">
        <v>96</v>
      </c>
      <c r="L299" s="2" t="s">
        <v>97</v>
      </c>
      <c r="AB299" t="str">
        <f t="shared" si="4"/>
        <v>Baldachino (10/03/2008 - 10/01/2012)</v>
      </c>
    </row>
    <row r="300" spans="1:28" x14ac:dyDescent="0.2">
      <c r="A300" s="3">
        <v>71</v>
      </c>
      <c r="B300" s="2" t="s">
        <v>118</v>
      </c>
      <c r="C300" s="3">
        <v>84</v>
      </c>
      <c r="D300" s="2" t="s">
        <v>183</v>
      </c>
      <c r="E300" s="160">
        <v>38862</v>
      </c>
      <c r="F300" s="160">
        <v>39436</v>
      </c>
      <c r="G300" s="3">
        <v>450</v>
      </c>
      <c r="H300" s="2" t="s">
        <v>29</v>
      </c>
      <c r="I300" s="2" t="s">
        <v>116</v>
      </c>
      <c r="J300" s="3">
        <v>10</v>
      </c>
      <c r="K300" s="2" t="s">
        <v>96</v>
      </c>
      <c r="L300" s="2" t="s">
        <v>97</v>
      </c>
      <c r="AB300" t="str">
        <f t="shared" si="4"/>
        <v>Valle (25/05/2006 - 20/12/2007)</v>
      </c>
    </row>
    <row r="301" spans="1:28" x14ac:dyDescent="0.2">
      <c r="A301" s="3">
        <v>70</v>
      </c>
      <c r="B301" s="2" t="s">
        <v>119</v>
      </c>
      <c r="C301" s="3">
        <v>821</v>
      </c>
      <c r="D301" s="2" t="s">
        <v>610</v>
      </c>
      <c r="E301" s="160">
        <v>43432</v>
      </c>
      <c r="F301" s="2"/>
      <c r="G301" s="3">
        <v>550</v>
      </c>
      <c r="H301" s="2" t="s">
        <v>29</v>
      </c>
      <c r="I301" s="2" t="s">
        <v>562</v>
      </c>
      <c r="J301" s="3">
        <v>6</v>
      </c>
      <c r="K301" s="2" t="s">
        <v>96</v>
      </c>
      <c r="L301" s="2" t="s">
        <v>97</v>
      </c>
      <c r="AB301" t="str">
        <f t="shared" si="4"/>
        <v>Tomas Gamarro Garcia, Miss Agnieszka Helena Kraus (28/11/2018 - present)</v>
      </c>
    </row>
    <row r="302" spans="1:28" x14ac:dyDescent="0.2">
      <c r="A302" s="3">
        <v>70</v>
      </c>
      <c r="B302" s="2" t="s">
        <v>119</v>
      </c>
      <c r="C302" s="3">
        <v>230</v>
      </c>
      <c r="D302" s="2" t="s">
        <v>348</v>
      </c>
      <c r="E302" s="160">
        <v>41367</v>
      </c>
      <c r="F302" s="160">
        <v>43102</v>
      </c>
      <c r="G302" s="3">
        <v>500</v>
      </c>
      <c r="H302" s="2" t="s">
        <v>29</v>
      </c>
      <c r="I302" s="2" t="s">
        <v>95</v>
      </c>
      <c r="J302" s="3">
        <v>10</v>
      </c>
      <c r="K302" s="2" t="s">
        <v>96</v>
      </c>
      <c r="L302" s="2" t="s">
        <v>97</v>
      </c>
      <c r="AB302" t="str">
        <f t="shared" si="4"/>
        <v>Mr Lewis (03/04/2013 - 02/01/2018)</v>
      </c>
    </row>
    <row r="303" spans="1:28" x14ac:dyDescent="0.2">
      <c r="A303" s="3">
        <v>70</v>
      </c>
      <c r="B303" s="2" t="s">
        <v>119</v>
      </c>
      <c r="C303" s="3">
        <v>203</v>
      </c>
      <c r="D303" s="2" t="s">
        <v>321</v>
      </c>
      <c r="E303" s="160">
        <v>40683</v>
      </c>
      <c r="F303" s="160">
        <v>41364</v>
      </c>
      <c r="G303" s="3">
        <v>580</v>
      </c>
      <c r="H303" s="2" t="s">
        <v>29</v>
      </c>
      <c r="I303" s="2" t="s">
        <v>95</v>
      </c>
      <c r="J303" s="3">
        <v>10</v>
      </c>
      <c r="K303" s="2" t="s">
        <v>96</v>
      </c>
      <c r="L303" s="2" t="s">
        <v>97</v>
      </c>
      <c r="AB303" t="str">
        <f t="shared" si="4"/>
        <v>Mr Lewis &amp; Mr Nesler (20/05/2011 - 31/03/2013)</v>
      </c>
    </row>
    <row r="304" spans="1:28" x14ac:dyDescent="0.2">
      <c r="A304" s="3">
        <v>70</v>
      </c>
      <c r="B304" s="2" t="s">
        <v>119</v>
      </c>
      <c r="C304" s="3">
        <v>180</v>
      </c>
      <c r="D304" s="2" t="s">
        <v>309</v>
      </c>
      <c r="E304" s="160">
        <v>40476</v>
      </c>
      <c r="F304" s="160">
        <v>40683</v>
      </c>
      <c r="G304" s="3">
        <v>620</v>
      </c>
      <c r="H304" s="2" t="s">
        <v>29</v>
      </c>
      <c r="I304" s="2" t="s">
        <v>95</v>
      </c>
      <c r="J304" s="3">
        <v>10</v>
      </c>
      <c r="K304" s="2" t="s">
        <v>96</v>
      </c>
      <c r="L304" s="2" t="s">
        <v>97</v>
      </c>
      <c r="AB304" t="str">
        <f t="shared" si="4"/>
        <v>Britten &amp; Grouden (25/10/2010 - 20/05/2011)</v>
      </c>
    </row>
    <row r="305" spans="1:28" x14ac:dyDescent="0.2">
      <c r="A305" s="3">
        <v>70</v>
      </c>
      <c r="B305" s="2" t="s">
        <v>119</v>
      </c>
      <c r="C305" s="3">
        <v>159</v>
      </c>
      <c r="D305" s="2" t="s">
        <v>277</v>
      </c>
      <c r="E305" s="160">
        <v>40087</v>
      </c>
      <c r="F305" s="160">
        <v>40214</v>
      </c>
      <c r="G305" s="3">
        <v>580</v>
      </c>
      <c r="H305" s="2" t="s">
        <v>29</v>
      </c>
      <c r="I305" s="2" t="s">
        <v>95</v>
      </c>
      <c r="J305" s="3">
        <v>10</v>
      </c>
      <c r="K305" s="2" t="s">
        <v>96</v>
      </c>
      <c r="L305" s="2" t="s">
        <v>97</v>
      </c>
      <c r="AB305" t="str">
        <f t="shared" si="4"/>
        <v>Jodie Tipper &amp; Stacey Chamberlain (01/10/2009 - 05/02/2010)</v>
      </c>
    </row>
    <row r="306" spans="1:28" x14ac:dyDescent="0.2">
      <c r="A306" s="3">
        <v>70</v>
      </c>
      <c r="B306" s="2" t="s">
        <v>119</v>
      </c>
      <c r="C306" s="3">
        <v>119</v>
      </c>
      <c r="D306" s="2" t="s">
        <v>209</v>
      </c>
      <c r="E306" s="160">
        <v>39472</v>
      </c>
      <c r="F306" s="160">
        <v>40053</v>
      </c>
      <c r="G306" s="3">
        <v>560</v>
      </c>
      <c r="H306" s="2" t="s">
        <v>29</v>
      </c>
      <c r="I306" s="2" t="s">
        <v>95</v>
      </c>
      <c r="J306" s="3">
        <v>10</v>
      </c>
      <c r="K306" s="2" t="s">
        <v>96</v>
      </c>
      <c r="L306" s="2" t="s">
        <v>97</v>
      </c>
      <c r="AB306" t="str">
        <f t="shared" si="4"/>
        <v>Tracy Fenn (25/01/2008 - 28/08/2009)</v>
      </c>
    </row>
    <row r="307" spans="1:28" x14ac:dyDescent="0.2">
      <c r="A307" s="3">
        <v>70</v>
      </c>
      <c r="B307" s="2" t="s">
        <v>119</v>
      </c>
      <c r="C307" s="3">
        <v>104</v>
      </c>
      <c r="D307" s="2" t="s">
        <v>190</v>
      </c>
      <c r="E307" s="160">
        <v>39251</v>
      </c>
      <c r="F307" s="160">
        <v>39434</v>
      </c>
      <c r="G307" s="3">
        <v>550</v>
      </c>
      <c r="H307" s="2" t="s">
        <v>29</v>
      </c>
      <c r="I307" s="2" t="s">
        <v>95</v>
      </c>
      <c r="J307" s="3">
        <v>10</v>
      </c>
      <c r="K307" s="2" t="s">
        <v>96</v>
      </c>
      <c r="L307" s="2" t="s">
        <v>97</v>
      </c>
      <c r="AB307" t="str">
        <f t="shared" si="4"/>
        <v>Daysh (18/06/2007 - 18/12/2007)</v>
      </c>
    </row>
    <row r="308" spans="1:28" x14ac:dyDescent="0.2">
      <c r="A308" s="3">
        <v>70</v>
      </c>
      <c r="B308" s="2" t="s">
        <v>119</v>
      </c>
      <c r="C308" s="3">
        <v>85</v>
      </c>
      <c r="D308" s="2" t="s">
        <v>120</v>
      </c>
      <c r="E308" s="160">
        <v>39023</v>
      </c>
      <c r="F308" s="160">
        <v>39172</v>
      </c>
      <c r="G308" s="3">
        <v>530</v>
      </c>
      <c r="H308" s="2" t="s">
        <v>29</v>
      </c>
      <c r="I308" s="2" t="s">
        <v>95</v>
      </c>
      <c r="J308" s="3">
        <v>10</v>
      </c>
      <c r="K308" s="2" t="s">
        <v>96</v>
      </c>
      <c r="L308" s="2" t="s">
        <v>97</v>
      </c>
      <c r="AB308" t="str">
        <f t="shared" si="4"/>
        <v>Mohammed  (02/11/2006 - 31/03/2007)</v>
      </c>
    </row>
    <row r="309" spans="1:28" x14ac:dyDescent="0.2">
      <c r="A309" s="3">
        <v>70</v>
      </c>
      <c r="B309" s="2" t="s">
        <v>119</v>
      </c>
      <c r="C309" s="3">
        <v>76</v>
      </c>
      <c r="D309" s="2" t="s">
        <v>121</v>
      </c>
      <c r="E309" s="160">
        <v>38754</v>
      </c>
      <c r="F309" s="160">
        <v>38999</v>
      </c>
      <c r="G309" s="3">
        <v>530</v>
      </c>
      <c r="H309" s="2" t="s">
        <v>29</v>
      </c>
      <c r="I309" s="2" t="s">
        <v>114</v>
      </c>
      <c r="J309" s="3">
        <v>8</v>
      </c>
      <c r="K309" s="2" t="s">
        <v>96</v>
      </c>
      <c r="L309" s="2" t="s">
        <v>101</v>
      </c>
      <c r="AB309" t="str">
        <f t="shared" si="4"/>
        <v>Franks (06/02/2006 - 09/10/2006)</v>
      </c>
    </row>
    <row r="310" spans="1:28" x14ac:dyDescent="0.2">
      <c r="A310" s="3">
        <v>65</v>
      </c>
      <c r="B310" s="2" t="s">
        <v>75</v>
      </c>
      <c r="C310" s="3">
        <v>768</v>
      </c>
      <c r="D310" s="2" t="s">
        <v>612</v>
      </c>
      <c r="E310" s="160">
        <v>43159</v>
      </c>
      <c r="F310" s="2"/>
      <c r="G310" s="3">
        <v>525</v>
      </c>
      <c r="H310" s="2" t="s">
        <v>29</v>
      </c>
      <c r="I310" s="2" t="s">
        <v>562</v>
      </c>
      <c r="J310" s="3">
        <v>6</v>
      </c>
      <c r="K310" s="2" t="s">
        <v>96</v>
      </c>
      <c r="L310" s="2" t="s">
        <v>97</v>
      </c>
      <c r="AB310" t="str">
        <f t="shared" si="4"/>
        <v>Peter Gradon (28/02/2018 - present)</v>
      </c>
    </row>
    <row r="311" spans="1:28" x14ac:dyDescent="0.2">
      <c r="A311" s="3">
        <v>65</v>
      </c>
      <c r="B311" s="2" t="s">
        <v>75</v>
      </c>
      <c r="C311" s="3">
        <v>751</v>
      </c>
      <c r="D311" s="2" t="s">
        <v>613</v>
      </c>
      <c r="E311" s="160">
        <v>42704</v>
      </c>
      <c r="F311" s="160">
        <v>43077</v>
      </c>
      <c r="G311" s="3">
        <v>0</v>
      </c>
      <c r="H311" s="2" t="s">
        <v>29</v>
      </c>
      <c r="I311" s="2" t="s">
        <v>562</v>
      </c>
      <c r="J311" s="3">
        <v>6</v>
      </c>
      <c r="K311" s="2" t="s">
        <v>96</v>
      </c>
      <c r="L311" s="2" t="s">
        <v>97</v>
      </c>
      <c r="AB311" t="str">
        <f t="shared" si="4"/>
        <v>Michala Mason (30/11/2016 - 08/12/2017)</v>
      </c>
    </row>
    <row r="312" spans="1:28" x14ac:dyDescent="0.2">
      <c r="A312" s="3">
        <v>65</v>
      </c>
      <c r="B312" s="2" t="s">
        <v>75</v>
      </c>
      <c r="C312" s="3">
        <v>97</v>
      </c>
      <c r="D312" s="2" t="s">
        <v>89</v>
      </c>
      <c r="E312" s="160">
        <v>39094</v>
      </c>
      <c r="F312" s="160">
        <v>42655</v>
      </c>
      <c r="G312" s="3">
        <v>495</v>
      </c>
      <c r="H312" s="2" t="s">
        <v>29</v>
      </c>
      <c r="I312" s="2" t="s">
        <v>95</v>
      </c>
      <c r="J312" s="3">
        <v>10</v>
      </c>
      <c r="K312" s="2" t="s">
        <v>96</v>
      </c>
      <c r="L312" s="2" t="s">
        <v>97</v>
      </c>
      <c r="AB312" t="str">
        <f t="shared" si="4"/>
        <v>Moran (12/01/2007 - 12/10/2016)</v>
      </c>
    </row>
    <row r="313" spans="1:28" x14ac:dyDescent="0.2">
      <c r="A313" s="3">
        <v>65</v>
      </c>
      <c r="B313" s="2" t="s">
        <v>75</v>
      </c>
      <c r="C313" s="3">
        <v>71</v>
      </c>
      <c r="D313" s="2" t="s">
        <v>17</v>
      </c>
      <c r="E313" s="160">
        <v>38925</v>
      </c>
      <c r="F313" s="160">
        <v>39082</v>
      </c>
      <c r="G313" s="3">
        <v>495</v>
      </c>
      <c r="H313" s="2" t="s">
        <v>29</v>
      </c>
      <c r="I313" s="2" t="s">
        <v>95</v>
      </c>
      <c r="J313" s="3">
        <v>10</v>
      </c>
      <c r="K313" s="2" t="s">
        <v>96</v>
      </c>
      <c r="L313" s="2" t="s">
        <v>97</v>
      </c>
      <c r="AB313" t="str">
        <f t="shared" si="4"/>
        <v>Chalk  (27/07/2006 - 31/12/2006)</v>
      </c>
    </row>
    <row r="314" spans="1:28" x14ac:dyDescent="0.2">
      <c r="A314" s="3">
        <v>62</v>
      </c>
      <c r="B314" s="2" t="s">
        <v>149</v>
      </c>
      <c r="C314" s="2"/>
      <c r="D314" s="2"/>
      <c r="E314" s="2"/>
      <c r="F314" s="2"/>
      <c r="G314" s="2"/>
      <c r="H314" s="2"/>
      <c r="I314" s="2"/>
      <c r="J314" s="2"/>
      <c r="K314" s="2"/>
      <c r="L314" s="2"/>
      <c r="AB314" t="str">
        <f t="shared" si="4"/>
        <v/>
      </c>
    </row>
    <row r="315" spans="1:28" x14ac:dyDescent="0.2">
      <c r="A315" s="3">
        <v>36</v>
      </c>
      <c r="B315" s="2" t="s">
        <v>150</v>
      </c>
      <c r="C315" s="2"/>
      <c r="D315" s="2"/>
      <c r="E315" s="2"/>
      <c r="F315" s="2"/>
      <c r="G315" s="2"/>
      <c r="H315" s="2"/>
      <c r="I315" s="2"/>
      <c r="J315" s="2"/>
      <c r="K315" s="2"/>
      <c r="L315" s="2"/>
      <c r="AB315" t="str">
        <f t="shared" si="4"/>
        <v/>
      </c>
    </row>
    <row r="316" spans="1:28" x14ac:dyDescent="0.2">
      <c r="A316" s="3">
        <v>40</v>
      </c>
      <c r="B316" s="2" t="s">
        <v>122</v>
      </c>
      <c r="C316" s="2"/>
      <c r="D316" s="2"/>
      <c r="E316" s="2"/>
      <c r="F316" s="2"/>
      <c r="G316" s="2"/>
      <c r="H316" s="2"/>
      <c r="I316" s="2"/>
      <c r="J316" s="2"/>
      <c r="K316" s="2"/>
      <c r="L316" s="2"/>
      <c r="AB316" t="str">
        <f t="shared" si="4"/>
        <v/>
      </c>
    </row>
    <row r="317" spans="1:28" x14ac:dyDescent="0.2">
      <c r="A317" s="3">
        <v>37</v>
      </c>
      <c r="B317" s="2" t="s">
        <v>123</v>
      </c>
      <c r="C317" s="2"/>
      <c r="D317" s="2"/>
      <c r="E317" s="2"/>
      <c r="F317" s="2"/>
      <c r="G317" s="2"/>
      <c r="H317" s="2"/>
      <c r="I317" s="2"/>
      <c r="J317" s="2"/>
      <c r="K317" s="2"/>
      <c r="L317" s="2"/>
      <c r="AB317" t="str">
        <f t="shared" si="4"/>
        <v/>
      </c>
    </row>
    <row r="318" spans="1:28" x14ac:dyDescent="0.2">
      <c r="A318" s="3">
        <v>38</v>
      </c>
      <c r="B318" s="2" t="s">
        <v>124</v>
      </c>
      <c r="C318" s="2"/>
      <c r="D318" s="2"/>
      <c r="E318" s="2"/>
      <c r="F318" s="2"/>
      <c r="G318" s="2"/>
      <c r="H318" s="2"/>
      <c r="I318" s="2"/>
      <c r="J318" s="2"/>
      <c r="K318" s="2"/>
      <c r="L318" s="2"/>
      <c r="AB318" t="str">
        <f t="shared" si="4"/>
        <v/>
      </c>
    </row>
    <row r="319" spans="1:28" x14ac:dyDescent="0.2">
      <c r="A319" s="3">
        <v>41</v>
      </c>
      <c r="B319" s="2" t="s">
        <v>125</v>
      </c>
      <c r="C319" s="2"/>
      <c r="D319" s="2"/>
      <c r="E319" s="2"/>
      <c r="F319" s="2"/>
      <c r="G319" s="2"/>
      <c r="H319" s="2"/>
      <c r="I319" s="2"/>
      <c r="J319" s="2"/>
      <c r="K319" s="2"/>
      <c r="L319" s="2"/>
      <c r="AB319" t="str">
        <f t="shared" si="4"/>
        <v/>
      </c>
    </row>
    <row r="320" spans="1:28" x14ac:dyDescent="0.2">
      <c r="A320" s="3">
        <v>39</v>
      </c>
      <c r="B320" s="2" t="s">
        <v>126</v>
      </c>
      <c r="C320" s="2"/>
      <c r="D320" s="2"/>
      <c r="E320" s="2"/>
      <c r="F320" s="2"/>
      <c r="G320" s="2"/>
      <c r="H320" s="2"/>
      <c r="I320" s="2"/>
      <c r="J320" s="2"/>
      <c r="K320" s="2"/>
      <c r="L320" s="2"/>
      <c r="AB320" t="str">
        <f t="shared" si="4"/>
        <v/>
      </c>
    </row>
    <row r="321" spans="1:28" x14ac:dyDescent="0.2">
      <c r="A321" s="3">
        <v>35</v>
      </c>
      <c r="B321" s="2" t="s">
        <v>127</v>
      </c>
      <c r="C321" s="2"/>
      <c r="D321" s="2"/>
      <c r="E321" s="2"/>
      <c r="F321" s="2"/>
      <c r="G321" s="2"/>
      <c r="H321" s="2"/>
      <c r="I321" s="2"/>
      <c r="J321" s="2"/>
      <c r="K321" s="2"/>
      <c r="L321" s="2"/>
      <c r="AB321" t="str">
        <f t="shared" si="4"/>
        <v/>
      </c>
    </row>
    <row r="322" spans="1:28" x14ac:dyDescent="0.2">
      <c r="A322" s="3">
        <v>43</v>
      </c>
      <c r="B322" s="2" t="s">
        <v>128</v>
      </c>
      <c r="C322" s="3">
        <v>141</v>
      </c>
      <c r="D322" s="2" t="s">
        <v>262</v>
      </c>
      <c r="E322" s="160">
        <v>39448</v>
      </c>
      <c r="F322" s="2"/>
      <c r="G322" s="3">
        <v>340.64</v>
      </c>
      <c r="H322" s="2" t="s">
        <v>29</v>
      </c>
      <c r="I322" s="2" t="s">
        <v>130</v>
      </c>
      <c r="J322" s="3">
        <v>0</v>
      </c>
      <c r="K322" s="2" t="s">
        <v>175</v>
      </c>
      <c r="L322" s="2" t="s">
        <v>101</v>
      </c>
      <c r="AB322" t="str">
        <f t="shared" si="4"/>
        <v>Not known (01/01/2008 - present)</v>
      </c>
    </row>
    <row r="323" spans="1:28" x14ac:dyDescent="0.2">
      <c r="A323" s="3">
        <v>42</v>
      </c>
      <c r="B323" s="2" t="s">
        <v>129</v>
      </c>
      <c r="C323" s="3">
        <v>156</v>
      </c>
      <c r="D323" s="2" t="s">
        <v>276</v>
      </c>
      <c r="E323" s="160">
        <v>40032</v>
      </c>
      <c r="F323" s="160">
        <v>40398</v>
      </c>
      <c r="G323" s="3">
        <v>1581.67</v>
      </c>
      <c r="H323" s="2" t="s">
        <v>29</v>
      </c>
      <c r="I323" s="2" t="s">
        <v>197</v>
      </c>
      <c r="J323" s="3">
        <v>0</v>
      </c>
      <c r="K323" s="2" t="s">
        <v>175</v>
      </c>
      <c r="L323" s="2" t="s">
        <v>101</v>
      </c>
      <c r="AB323" t="str">
        <f t="shared" ref="AB323:AB386" si="5">IF(E323&lt;&gt;"",IF(F323="",D323&amp;" ("&amp;TEXT(E323,"dd/mm/yyyy")&amp;" - present)",D323&amp;" ("&amp;TEXT(E323,"dd/mm/yyyy")&amp;" - "&amp;TEXT(F323,"dd/mm/yyyy")&amp;")"),"")</f>
        <v>J. Upastising &amp; K. Wisarutwanit &amp; N. Wisarutwanit (07/08/2009 - 08/08/2010)</v>
      </c>
    </row>
    <row r="324" spans="1:28" x14ac:dyDescent="0.2">
      <c r="A324" s="3">
        <v>42</v>
      </c>
      <c r="B324" s="2" t="s">
        <v>129</v>
      </c>
      <c r="C324" s="3">
        <v>136</v>
      </c>
      <c r="D324" s="2" t="s">
        <v>255</v>
      </c>
      <c r="E324" s="160">
        <v>39604</v>
      </c>
      <c r="F324" s="160">
        <v>39967</v>
      </c>
      <c r="G324" s="3">
        <v>1820</v>
      </c>
      <c r="H324" s="2" t="s">
        <v>29</v>
      </c>
      <c r="I324" s="2" t="s">
        <v>197</v>
      </c>
      <c r="J324" s="3">
        <v>0</v>
      </c>
      <c r="K324" s="2" t="s">
        <v>175</v>
      </c>
      <c r="L324" s="2" t="s">
        <v>101</v>
      </c>
      <c r="AB324" t="str">
        <f t="shared" si="5"/>
        <v>Steve Ward (05/06/2008 - 03/06/2009)</v>
      </c>
    </row>
    <row r="325" spans="1:28" x14ac:dyDescent="0.2">
      <c r="A325" s="3"/>
      <c r="B325" s="2"/>
      <c r="C325" s="3"/>
      <c r="D325" s="2"/>
      <c r="E325" s="160"/>
      <c r="F325" s="2"/>
      <c r="G325" s="3"/>
      <c r="H325" s="2"/>
      <c r="I325" s="2"/>
      <c r="J325" s="3"/>
      <c r="K325" s="2"/>
      <c r="L325" s="2"/>
    </row>
    <row r="326" spans="1:28" x14ac:dyDescent="0.2">
      <c r="A326" s="3"/>
      <c r="B326" s="2"/>
      <c r="C326" s="3"/>
      <c r="D326" s="2"/>
      <c r="E326" s="160"/>
      <c r="F326" s="160"/>
      <c r="G326" s="3"/>
      <c r="H326" s="2"/>
      <c r="I326" s="2"/>
      <c r="J326" s="3"/>
      <c r="K326" s="2"/>
      <c r="L326" s="2"/>
    </row>
    <row r="327" spans="1:28" x14ac:dyDescent="0.2">
      <c r="A327" s="3"/>
      <c r="B327" s="2"/>
      <c r="C327" s="3"/>
      <c r="D327" s="2"/>
      <c r="E327" s="160"/>
      <c r="F327" s="160"/>
      <c r="G327" s="3"/>
      <c r="H327" s="2"/>
      <c r="I327" s="2"/>
      <c r="J327" s="3"/>
      <c r="K327" s="2"/>
      <c r="L327" s="2"/>
    </row>
    <row r="329" spans="1:28" x14ac:dyDescent="0.2">
      <c r="AB329" t="str">
        <f t="shared" si="5"/>
        <v/>
      </c>
    </row>
    <row r="330" spans="1:28" x14ac:dyDescent="0.2">
      <c r="AB330" t="str">
        <f t="shared" si="5"/>
        <v/>
      </c>
    </row>
    <row r="331" spans="1:28" x14ac:dyDescent="0.2">
      <c r="AB331" t="str">
        <f t="shared" si="5"/>
        <v/>
      </c>
    </row>
    <row r="332" spans="1:28" x14ac:dyDescent="0.2">
      <c r="AB332" t="str">
        <f t="shared" si="5"/>
        <v/>
      </c>
    </row>
    <row r="333" spans="1:28" x14ac:dyDescent="0.2">
      <c r="AB333" t="str">
        <f t="shared" si="5"/>
        <v/>
      </c>
    </row>
    <row r="334" spans="1:28" x14ac:dyDescent="0.2">
      <c r="AB334" t="str">
        <f t="shared" si="5"/>
        <v/>
      </c>
    </row>
    <row r="335" spans="1:28" x14ac:dyDescent="0.2">
      <c r="AB335" t="str">
        <f t="shared" si="5"/>
        <v/>
      </c>
    </row>
    <row r="336" spans="1:28" x14ac:dyDescent="0.2">
      <c r="AB336" t="str">
        <f t="shared" si="5"/>
        <v/>
      </c>
    </row>
    <row r="337" spans="28:28" x14ac:dyDescent="0.2">
      <c r="AB337" t="str">
        <f t="shared" si="5"/>
        <v/>
      </c>
    </row>
    <row r="338" spans="28:28" x14ac:dyDescent="0.2">
      <c r="AB338" t="str">
        <f t="shared" si="5"/>
        <v/>
      </c>
    </row>
    <row r="339" spans="28:28" x14ac:dyDescent="0.2">
      <c r="AB339" t="str">
        <f t="shared" si="5"/>
        <v/>
      </c>
    </row>
    <row r="340" spans="28:28" x14ac:dyDescent="0.2">
      <c r="AB340" t="str">
        <f t="shared" si="5"/>
        <v/>
      </c>
    </row>
    <row r="341" spans="28:28" x14ac:dyDescent="0.2">
      <c r="AB341" t="str">
        <f t="shared" si="5"/>
        <v/>
      </c>
    </row>
    <row r="342" spans="28:28" x14ac:dyDescent="0.2">
      <c r="AB342" t="str">
        <f t="shared" si="5"/>
        <v/>
      </c>
    </row>
    <row r="343" spans="28:28" x14ac:dyDescent="0.2">
      <c r="AB343" t="str">
        <f t="shared" si="5"/>
        <v/>
      </c>
    </row>
    <row r="344" spans="28:28" x14ac:dyDescent="0.2">
      <c r="AB344" t="str">
        <f t="shared" si="5"/>
        <v/>
      </c>
    </row>
    <row r="345" spans="28:28" x14ac:dyDescent="0.2">
      <c r="AB345" t="str">
        <f t="shared" si="5"/>
        <v/>
      </c>
    </row>
    <row r="346" spans="28:28" x14ac:dyDescent="0.2">
      <c r="AB346" t="str">
        <f t="shared" si="5"/>
        <v/>
      </c>
    </row>
    <row r="347" spans="28:28" x14ac:dyDescent="0.2">
      <c r="AB347" t="str">
        <f t="shared" si="5"/>
        <v/>
      </c>
    </row>
    <row r="348" spans="28:28" x14ac:dyDescent="0.2">
      <c r="AB348" t="str">
        <f t="shared" si="5"/>
        <v/>
      </c>
    </row>
    <row r="349" spans="28:28" x14ac:dyDescent="0.2">
      <c r="AB349" t="str">
        <f t="shared" si="5"/>
        <v/>
      </c>
    </row>
    <row r="350" spans="28:28" x14ac:dyDescent="0.2">
      <c r="AB350" t="str">
        <f t="shared" si="5"/>
        <v/>
      </c>
    </row>
    <row r="351" spans="28:28" x14ac:dyDescent="0.2">
      <c r="AB351" t="str">
        <f t="shared" si="5"/>
        <v/>
      </c>
    </row>
    <row r="352" spans="28:28" x14ac:dyDescent="0.2">
      <c r="AB352" t="str">
        <f t="shared" si="5"/>
        <v/>
      </c>
    </row>
    <row r="353" spans="28:28" x14ac:dyDescent="0.2">
      <c r="AB353" t="str">
        <f t="shared" si="5"/>
        <v/>
      </c>
    </row>
    <row r="354" spans="28:28" x14ac:dyDescent="0.2">
      <c r="AB354" t="str">
        <f t="shared" si="5"/>
        <v/>
      </c>
    </row>
    <row r="355" spans="28:28" x14ac:dyDescent="0.2">
      <c r="AB355" t="str">
        <f t="shared" si="5"/>
        <v/>
      </c>
    </row>
    <row r="356" spans="28:28" x14ac:dyDescent="0.2">
      <c r="AB356" t="str">
        <f t="shared" si="5"/>
        <v/>
      </c>
    </row>
    <row r="357" spans="28:28" x14ac:dyDescent="0.2">
      <c r="AB357" t="str">
        <f t="shared" si="5"/>
        <v/>
      </c>
    </row>
    <row r="358" spans="28:28" x14ac:dyDescent="0.2">
      <c r="AB358" t="str">
        <f t="shared" si="5"/>
        <v/>
      </c>
    </row>
    <row r="359" spans="28:28" x14ac:dyDescent="0.2">
      <c r="AB359" t="str">
        <f t="shared" si="5"/>
        <v/>
      </c>
    </row>
    <row r="360" spans="28:28" x14ac:dyDescent="0.2">
      <c r="AB360" t="str">
        <f t="shared" si="5"/>
        <v/>
      </c>
    </row>
    <row r="361" spans="28:28" x14ac:dyDescent="0.2">
      <c r="AB361" t="str">
        <f t="shared" si="5"/>
        <v/>
      </c>
    </row>
    <row r="362" spans="28:28" x14ac:dyDescent="0.2">
      <c r="AB362" t="str">
        <f t="shared" si="5"/>
        <v/>
      </c>
    </row>
    <row r="363" spans="28:28" x14ac:dyDescent="0.2">
      <c r="AB363" t="str">
        <f t="shared" si="5"/>
        <v/>
      </c>
    </row>
    <row r="364" spans="28:28" x14ac:dyDescent="0.2">
      <c r="AB364" t="str">
        <f t="shared" si="5"/>
        <v/>
      </c>
    </row>
    <row r="365" spans="28:28" x14ac:dyDescent="0.2">
      <c r="AB365" t="str">
        <f t="shared" si="5"/>
        <v/>
      </c>
    </row>
    <row r="366" spans="28:28" x14ac:dyDescent="0.2">
      <c r="AB366" t="str">
        <f t="shared" si="5"/>
        <v/>
      </c>
    </row>
    <row r="367" spans="28:28" x14ac:dyDescent="0.2">
      <c r="AB367" t="str">
        <f t="shared" si="5"/>
        <v/>
      </c>
    </row>
    <row r="368" spans="28:28" x14ac:dyDescent="0.2">
      <c r="AB368" t="str">
        <f t="shared" si="5"/>
        <v/>
      </c>
    </row>
    <row r="369" spans="28:28" x14ac:dyDescent="0.2">
      <c r="AB369" t="str">
        <f t="shared" si="5"/>
        <v/>
      </c>
    </row>
    <row r="370" spans="28:28" x14ac:dyDescent="0.2">
      <c r="AB370" t="str">
        <f t="shared" si="5"/>
        <v/>
      </c>
    </row>
    <row r="371" spans="28:28" x14ac:dyDescent="0.2">
      <c r="AB371" t="str">
        <f t="shared" si="5"/>
        <v/>
      </c>
    </row>
    <row r="372" spans="28:28" x14ac:dyDescent="0.2">
      <c r="AB372" t="str">
        <f t="shared" si="5"/>
        <v/>
      </c>
    </row>
    <row r="373" spans="28:28" x14ac:dyDescent="0.2">
      <c r="AB373" t="str">
        <f t="shared" si="5"/>
        <v/>
      </c>
    </row>
    <row r="374" spans="28:28" x14ac:dyDescent="0.2">
      <c r="AB374" t="str">
        <f t="shared" si="5"/>
        <v/>
      </c>
    </row>
    <row r="375" spans="28:28" x14ac:dyDescent="0.2">
      <c r="AB375" t="str">
        <f t="shared" si="5"/>
        <v/>
      </c>
    </row>
    <row r="376" spans="28:28" x14ac:dyDescent="0.2">
      <c r="AB376" t="str">
        <f t="shared" si="5"/>
        <v/>
      </c>
    </row>
    <row r="377" spans="28:28" x14ac:dyDescent="0.2">
      <c r="AB377" t="str">
        <f t="shared" si="5"/>
        <v/>
      </c>
    </row>
    <row r="378" spans="28:28" x14ac:dyDescent="0.2">
      <c r="AB378" t="str">
        <f t="shared" si="5"/>
        <v/>
      </c>
    </row>
    <row r="379" spans="28:28" x14ac:dyDescent="0.2">
      <c r="AB379" t="str">
        <f t="shared" si="5"/>
        <v/>
      </c>
    </row>
    <row r="380" spans="28:28" x14ac:dyDescent="0.2">
      <c r="AB380" t="str">
        <f t="shared" si="5"/>
        <v/>
      </c>
    </row>
    <row r="381" spans="28:28" x14ac:dyDescent="0.2">
      <c r="AB381" t="str">
        <f t="shared" si="5"/>
        <v/>
      </c>
    </row>
    <row r="382" spans="28:28" x14ac:dyDescent="0.2">
      <c r="AB382" t="str">
        <f t="shared" si="5"/>
        <v/>
      </c>
    </row>
    <row r="383" spans="28:28" x14ac:dyDescent="0.2">
      <c r="AB383" t="str">
        <f t="shared" si="5"/>
        <v/>
      </c>
    </row>
    <row r="384" spans="28:28" x14ac:dyDescent="0.2">
      <c r="AB384" t="str">
        <f t="shared" si="5"/>
        <v/>
      </c>
    </row>
    <row r="385" spans="28:28" x14ac:dyDescent="0.2">
      <c r="AB385" t="str">
        <f t="shared" si="5"/>
        <v/>
      </c>
    </row>
    <row r="386" spans="28:28" x14ac:dyDescent="0.2">
      <c r="AB386" t="str">
        <f t="shared" si="5"/>
        <v/>
      </c>
    </row>
    <row r="387" spans="28:28" x14ac:dyDescent="0.2">
      <c r="AB387" t="str">
        <f t="shared" ref="AB387:AB450" si="6">IF(E387&lt;&gt;"",IF(F387="",D387&amp;" ("&amp;TEXT(E387,"dd/mm/yyyy")&amp;" - present)",D387&amp;" ("&amp;TEXT(E387,"dd/mm/yyyy")&amp;" - "&amp;TEXT(F387,"dd/mm/yyyy")&amp;")"),"")</f>
        <v/>
      </c>
    </row>
    <row r="388" spans="28:28" x14ac:dyDescent="0.2">
      <c r="AB388" t="str">
        <f t="shared" si="6"/>
        <v/>
      </c>
    </row>
    <row r="389" spans="28:28" x14ac:dyDescent="0.2">
      <c r="AB389" t="str">
        <f t="shared" si="6"/>
        <v/>
      </c>
    </row>
    <row r="390" spans="28:28" x14ac:dyDescent="0.2">
      <c r="AB390" t="str">
        <f t="shared" si="6"/>
        <v/>
      </c>
    </row>
    <row r="391" spans="28:28" x14ac:dyDescent="0.2">
      <c r="AB391" t="str">
        <f t="shared" si="6"/>
        <v/>
      </c>
    </row>
    <row r="392" spans="28:28" x14ac:dyDescent="0.2">
      <c r="AB392" t="str">
        <f t="shared" si="6"/>
        <v/>
      </c>
    </row>
    <row r="393" spans="28:28" x14ac:dyDescent="0.2">
      <c r="AB393" t="str">
        <f t="shared" si="6"/>
        <v/>
      </c>
    </row>
    <row r="394" spans="28:28" x14ac:dyDescent="0.2">
      <c r="AB394" t="str">
        <f t="shared" si="6"/>
        <v/>
      </c>
    </row>
    <row r="395" spans="28:28" x14ac:dyDescent="0.2">
      <c r="AB395" t="str">
        <f t="shared" si="6"/>
        <v/>
      </c>
    </row>
    <row r="396" spans="28:28" x14ac:dyDescent="0.2">
      <c r="AB396" t="str">
        <f t="shared" si="6"/>
        <v/>
      </c>
    </row>
    <row r="397" spans="28:28" x14ac:dyDescent="0.2">
      <c r="AB397" t="str">
        <f t="shared" si="6"/>
        <v/>
      </c>
    </row>
    <row r="398" spans="28:28" x14ac:dyDescent="0.2">
      <c r="AB398" t="str">
        <f t="shared" si="6"/>
        <v/>
      </c>
    </row>
    <row r="399" spans="28:28" x14ac:dyDescent="0.2">
      <c r="AB399" t="str">
        <f t="shared" si="6"/>
        <v/>
      </c>
    </row>
    <row r="400" spans="28:28" x14ac:dyDescent="0.2">
      <c r="AB400" t="str">
        <f t="shared" si="6"/>
        <v/>
      </c>
    </row>
    <row r="401" spans="28:28" x14ac:dyDescent="0.2">
      <c r="AB401" t="str">
        <f t="shared" si="6"/>
        <v/>
      </c>
    </row>
    <row r="402" spans="28:28" x14ac:dyDescent="0.2">
      <c r="AB402" t="str">
        <f t="shared" si="6"/>
        <v/>
      </c>
    </row>
    <row r="403" spans="28:28" x14ac:dyDescent="0.2">
      <c r="AB403" t="str">
        <f t="shared" si="6"/>
        <v/>
      </c>
    </row>
    <row r="404" spans="28:28" x14ac:dyDescent="0.2">
      <c r="AB404" t="str">
        <f t="shared" si="6"/>
        <v/>
      </c>
    </row>
    <row r="405" spans="28:28" x14ac:dyDescent="0.2">
      <c r="AB405" t="str">
        <f t="shared" si="6"/>
        <v/>
      </c>
    </row>
    <row r="406" spans="28:28" x14ac:dyDescent="0.2">
      <c r="AB406" t="str">
        <f t="shared" si="6"/>
        <v/>
      </c>
    </row>
    <row r="407" spans="28:28" x14ac:dyDescent="0.2">
      <c r="AB407" t="str">
        <f t="shared" si="6"/>
        <v/>
      </c>
    </row>
    <row r="408" spans="28:28" x14ac:dyDescent="0.2">
      <c r="AB408" t="str">
        <f t="shared" si="6"/>
        <v/>
      </c>
    </row>
    <row r="409" spans="28:28" x14ac:dyDescent="0.2">
      <c r="AB409" t="str">
        <f t="shared" si="6"/>
        <v/>
      </c>
    </row>
    <row r="410" spans="28:28" x14ac:dyDescent="0.2">
      <c r="AB410" t="str">
        <f t="shared" si="6"/>
        <v/>
      </c>
    </row>
    <row r="411" spans="28:28" x14ac:dyDescent="0.2">
      <c r="AB411" t="str">
        <f t="shared" si="6"/>
        <v/>
      </c>
    </row>
    <row r="412" spans="28:28" x14ac:dyDescent="0.2">
      <c r="AB412" t="str">
        <f t="shared" si="6"/>
        <v/>
      </c>
    </row>
    <row r="413" spans="28:28" x14ac:dyDescent="0.2">
      <c r="AB413" t="str">
        <f t="shared" si="6"/>
        <v/>
      </c>
    </row>
    <row r="414" spans="28:28" x14ac:dyDescent="0.2">
      <c r="AB414" t="str">
        <f t="shared" si="6"/>
        <v/>
      </c>
    </row>
    <row r="415" spans="28:28" x14ac:dyDescent="0.2">
      <c r="AB415" t="str">
        <f t="shared" si="6"/>
        <v/>
      </c>
    </row>
    <row r="416" spans="28:28" x14ac:dyDescent="0.2">
      <c r="AB416" t="str">
        <f t="shared" si="6"/>
        <v/>
      </c>
    </row>
    <row r="417" spans="28:28" x14ac:dyDescent="0.2">
      <c r="AB417" t="str">
        <f t="shared" si="6"/>
        <v/>
      </c>
    </row>
    <row r="418" spans="28:28" x14ac:dyDescent="0.2">
      <c r="AB418" t="str">
        <f t="shared" si="6"/>
        <v/>
      </c>
    </row>
    <row r="419" spans="28:28" x14ac:dyDescent="0.2">
      <c r="AB419" t="str">
        <f t="shared" si="6"/>
        <v/>
      </c>
    </row>
    <row r="420" spans="28:28" x14ac:dyDescent="0.2">
      <c r="AB420" t="str">
        <f t="shared" si="6"/>
        <v/>
      </c>
    </row>
    <row r="421" spans="28:28" x14ac:dyDescent="0.2">
      <c r="AB421" t="str">
        <f t="shared" si="6"/>
        <v/>
      </c>
    </row>
    <row r="422" spans="28:28" x14ac:dyDescent="0.2">
      <c r="AB422" t="str">
        <f t="shared" si="6"/>
        <v/>
      </c>
    </row>
    <row r="423" spans="28:28" x14ac:dyDescent="0.2">
      <c r="AB423" t="str">
        <f t="shared" si="6"/>
        <v/>
      </c>
    </row>
    <row r="424" spans="28:28" x14ac:dyDescent="0.2">
      <c r="AB424" t="str">
        <f t="shared" si="6"/>
        <v/>
      </c>
    </row>
    <row r="425" spans="28:28" x14ac:dyDescent="0.2">
      <c r="AB425" t="str">
        <f t="shared" si="6"/>
        <v/>
      </c>
    </row>
    <row r="426" spans="28:28" x14ac:dyDescent="0.2">
      <c r="AB426" t="str">
        <f t="shared" si="6"/>
        <v/>
      </c>
    </row>
    <row r="427" spans="28:28" x14ac:dyDescent="0.2">
      <c r="AB427" t="str">
        <f t="shared" si="6"/>
        <v/>
      </c>
    </row>
    <row r="428" spans="28:28" x14ac:dyDescent="0.2">
      <c r="AB428" t="str">
        <f t="shared" si="6"/>
        <v/>
      </c>
    </row>
    <row r="429" spans="28:28" x14ac:dyDescent="0.2">
      <c r="AB429" t="str">
        <f t="shared" si="6"/>
        <v/>
      </c>
    </row>
    <row r="430" spans="28:28" x14ac:dyDescent="0.2">
      <c r="AB430" t="str">
        <f t="shared" si="6"/>
        <v/>
      </c>
    </row>
    <row r="431" spans="28:28" x14ac:dyDescent="0.2">
      <c r="AB431" t="str">
        <f t="shared" si="6"/>
        <v/>
      </c>
    </row>
    <row r="432" spans="28:28" x14ac:dyDescent="0.2">
      <c r="AB432" t="str">
        <f t="shared" si="6"/>
        <v/>
      </c>
    </row>
    <row r="433" spans="28:28" x14ac:dyDescent="0.2">
      <c r="AB433" t="str">
        <f t="shared" si="6"/>
        <v/>
      </c>
    </row>
    <row r="434" spans="28:28" x14ac:dyDescent="0.2">
      <c r="AB434" t="str">
        <f t="shared" si="6"/>
        <v/>
      </c>
    </row>
    <row r="435" spans="28:28" x14ac:dyDescent="0.2">
      <c r="AB435" t="str">
        <f t="shared" si="6"/>
        <v/>
      </c>
    </row>
    <row r="436" spans="28:28" x14ac:dyDescent="0.2">
      <c r="AB436" t="str">
        <f t="shared" si="6"/>
        <v/>
      </c>
    </row>
    <row r="437" spans="28:28" x14ac:dyDescent="0.2">
      <c r="AB437" t="str">
        <f t="shared" si="6"/>
        <v/>
      </c>
    </row>
    <row r="438" spans="28:28" x14ac:dyDescent="0.2">
      <c r="AB438" t="str">
        <f t="shared" si="6"/>
        <v/>
      </c>
    </row>
    <row r="439" spans="28:28" x14ac:dyDescent="0.2">
      <c r="AB439" t="str">
        <f t="shared" si="6"/>
        <v/>
      </c>
    </row>
    <row r="440" spans="28:28" x14ac:dyDescent="0.2">
      <c r="AB440" t="str">
        <f t="shared" si="6"/>
        <v/>
      </c>
    </row>
    <row r="441" spans="28:28" x14ac:dyDescent="0.2">
      <c r="AB441" t="str">
        <f t="shared" si="6"/>
        <v/>
      </c>
    </row>
    <row r="442" spans="28:28" x14ac:dyDescent="0.2">
      <c r="AB442" t="str">
        <f t="shared" si="6"/>
        <v/>
      </c>
    </row>
    <row r="443" spans="28:28" x14ac:dyDescent="0.2">
      <c r="AB443" t="str">
        <f t="shared" si="6"/>
        <v/>
      </c>
    </row>
    <row r="444" spans="28:28" x14ac:dyDescent="0.2">
      <c r="AB444" t="str">
        <f t="shared" si="6"/>
        <v/>
      </c>
    </row>
    <row r="445" spans="28:28" x14ac:dyDescent="0.2">
      <c r="AB445" t="str">
        <f t="shared" si="6"/>
        <v/>
      </c>
    </row>
    <row r="446" spans="28:28" x14ac:dyDescent="0.2">
      <c r="AB446" t="str">
        <f t="shared" si="6"/>
        <v/>
      </c>
    </row>
    <row r="447" spans="28:28" x14ac:dyDescent="0.2">
      <c r="AB447" t="str">
        <f t="shared" si="6"/>
        <v/>
      </c>
    </row>
    <row r="448" spans="28:28" x14ac:dyDescent="0.2">
      <c r="AB448" t="str">
        <f t="shared" si="6"/>
        <v/>
      </c>
    </row>
    <row r="449" spans="28:28" x14ac:dyDescent="0.2">
      <c r="AB449" t="str">
        <f t="shared" si="6"/>
        <v/>
      </c>
    </row>
    <row r="450" spans="28:28" x14ac:dyDescent="0.2">
      <c r="AB450" t="str">
        <f t="shared" si="6"/>
        <v/>
      </c>
    </row>
    <row r="451" spans="28:28" x14ac:dyDescent="0.2">
      <c r="AB451" t="str">
        <f t="shared" ref="AB451:AB510" si="7">IF(E451&lt;&gt;"",IF(F451="",D451&amp;" ("&amp;TEXT(E451,"dd/mm/yyyy")&amp;" - present)",D451&amp;" ("&amp;TEXT(E451,"dd/mm/yyyy")&amp;" - "&amp;TEXT(F451,"dd/mm/yyyy")&amp;")"),"")</f>
        <v/>
      </c>
    </row>
    <row r="452" spans="28:28" x14ac:dyDescent="0.2">
      <c r="AB452" t="str">
        <f t="shared" si="7"/>
        <v/>
      </c>
    </row>
    <row r="453" spans="28:28" x14ac:dyDescent="0.2">
      <c r="AB453" t="str">
        <f t="shared" si="7"/>
        <v/>
      </c>
    </row>
    <row r="454" spans="28:28" x14ac:dyDescent="0.2">
      <c r="AB454" t="str">
        <f t="shared" si="7"/>
        <v/>
      </c>
    </row>
    <row r="455" spans="28:28" x14ac:dyDescent="0.2">
      <c r="AB455" t="str">
        <f t="shared" si="7"/>
        <v/>
      </c>
    </row>
    <row r="456" spans="28:28" x14ac:dyDescent="0.2">
      <c r="AB456" t="str">
        <f t="shared" si="7"/>
        <v/>
      </c>
    </row>
    <row r="457" spans="28:28" x14ac:dyDescent="0.2">
      <c r="AB457" t="str">
        <f t="shared" si="7"/>
        <v/>
      </c>
    </row>
    <row r="458" spans="28:28" x14ac:dyDescent="0.2">
      <c r="AB458" t="str">
        <f t="shared" si="7"/>
        <v/>
      </c>
    </row>
    <row r="459" spans="28:28" x14ac:dyDescent="0.2">
      <c r="AB459" t="str">
        <f t="shared" si="7"/>
        <v/>
      </c>
    </row>
    <row r="460" spans="28:28" x14ac:dyDescent="0.2">
      <c r="AB460" t="str">
        <f t="shared" si="7"/>
        <v/>
      </c>
    </row>
    <row r="461" spans="28:28" x14ac:dyDescent="0.2">
      <c r="AB461" t="str">
        <f t="shared" si="7"/>
        <v/>
      </c>
    </row>
    <row r="462" spans="28:28" x14ac:dyDescent="0.2">
      <c r="AB462" t="str">
        <f t="shared" si="7"/>
        <v/>
      </c>
    </row>
    <row r="463" spans="28:28" x14ac:dyDescent="0.2">
      <c r="AB463" t="str">
        <f t="shared" si="7"/>
        <v/>
      </c>
    </row>
    <row r="464" spans="28:28" x14ac:dyDescent="0.2">
      <c r="AB464" t="str">
        <f t="shared" si="7"/>
        <v/>
      </c>
    </row>
    <row r="465" spans="28:28" x14ac:dyDescent="0.2">
      <c r="AB465" t="str">
        <f t="shared" si="7"/>
        <v/>
      </c>
    </row>
    <row r="466" spans="28:28" x14ac:dyDescent="0.2">
      <c r="AB466" t="str">
        <f t="shared" si="7"/>
        <v/>
      </c>
    </row>
    <row r="467" spans="28:28" x14ac:dyDescent="0.2">
      <c r="AB467" t="str">
        <f t="shared" si="7"/>
        <v/>
      </c>
    </row>
    <row r="468" spans="28:28" x14ac:dyDescent="0.2">
      <c r="AB468" t="str">
        <f t="shared" si="7"/>
        <v/>
      </c>
    </row>
    <row r="469" spans="28:28" x14ac:dyDescent="0.2">
      <c r="AB469" t="str">
        <f t="shared" si="7"/>
        <v/>
      </c>
    </row>
    <row r="470" spans="28:28" x14ac:dyDescent="0.2">
      <c r="AB470" t="str">
        <f t="shared" si="7"/>
        <v/>
      </c>
    </row>
    <row r="471" spans="28:28" x14ac:dyDescent="0.2">
      <c r="AB471" t="str">
        <f t="shared" si="7"/>
        <v/>
      </c>
    </row>
    <row r="472" spans="28:28" x14ac:dyDescent="0.2">
      <c r="AB472" t="str">
        <f t="shared" si="7"/>
        <v/>
      </c>
    </row>
    <row r="473" spans="28:28" x14ac:dyDescent="0.2">
      <c r="AB473" t="str">
        <f t="shared" si="7"/>
        <v/>
      </c>
    </row>
    <row r="474" spans="28:28" x14ac:dyDescent="0.2">
      <c r="AB474" t="str">
        <f t="shared" si="7"/>
        <v/>
      </c>
    </row>
    <row r="475" spans="28:28" x14ac:dyDescent="0.2">
      <c r="AB475" t="str">
        <f t="shared" si="7"/>
        <v/>
      </c>
    </row>
    <row r="476" spans="28:28" x14ac:dyDescent="0.2">
      <c r="AB476" t="str">
        <f t="shared" si="7"/>
        <v/>
      </c>
    </row>
    <row r="477" spans="28:28" x14ac:dyDescent="0.2">
      <c r="AB477" t="str">
        <f t="shared" si="7"/>
        <v/>
      </c>
    </row>
    <row r="478" spans="28:28" x14ac:dyDescent="0.2">
      <c r="AB478" t="str">
        <f t="shared" si="7"/>
        <v/>
      </c>
    </row>
    <row r="479" spans="28:28" x14ac:dyDescent="0.2">
      <c r="AB479" t="str">
        <f t="shared" si="7"/>
        <v/>
      </c>
    </row>
    <row r="480" spans="28:28" x14ac:dyDescent="0.2">
      <c r="AB480" t="str">
        <f t="shared" si="7"/>
        <v/>
      </c>
    </row>
    <row r="481" spans="28:28" x14ac:dyDescent="0.2">
      <c r="AB481" t="str">
        <f t="shared" si="7"/>
        <v/>
      </c>
    </row>
    <row r="482" spans="28:28" x14ac:dyDescent="0.2">
      <c r="AB482" t="str">
        <f t="shared" si="7"/>
        <v/>
      </c>
    </row>
    <row r="483" spans="28:28" x14ac:dyDescent="0.2">
      <c r="AB483" t="str">
        <f t="shared" si="7"/>
        <v/>
      </c>
    </row>
    <row r="484" spans="28:28" x14ac:dyDescent="0.2">
      <c r="AB484" t="str">
        <f t="shared" si="7"/>
        <v/>
      </c>
    </row>
    <row r="485" spans="28:28" x14ac:dyDescent="0.2">
      <c r="AB485" t="str">
        <f t="shared" si="7"/>
        <v/>
      </c>
    </row>
    <row r="486" spans="28:28" x14ac:dyDescent="0.2">
      <c r="AB486" t="str">
        <f t="shared" si="7"/>
        <v/>
      </c>
    </row>
    <row r="487" spans="28:28" x14ac:dyDescent="0.2">
      <c r="AB487" t="str">
        <f t="shared" si="7"/>
        <v/>
      </c>
    </row>
    <row r="488" spans="28:28" x14ac:dyDescent="0.2">
      <c r="AB488" t="str">
        <f t="shared" si="7"/>
        <v/>
      </c>
    </row>
    <row r="489" spans="28:28" x14ac:dyDescent="0.2">
      <c r="AB489" t="str">
        <f t="shared" si="7"/>
        <v/>
      </c>
    </row>
    <row r="490" spans="28:28" x14ac:dyDescent="0.2">
      <c r="AB490" t="str">
        <f t="shared" si="7"/>
        <v/>
      </c>
    </row>
    <row r="491" spans="28:28" x14ac:dyDescent="0.2">
      <c r="AB491" t="str">
        <f t="shared" si="7"/>
        <v/>
      </c>
    </row>
    <row r="492" spans="28:28" x14ac:dyDescent="0.2">
      <c r="AB492" t="str">
        <f t="shared" si="7"/>
        <v/>
      </c>
    </row>
    <row r="493" spans="28:28" x14ac:dyDescent="0.2">
      <c r="AB493" t="str">
        <f t="shared" si="7"/>
        <v/>
      </c>
    </row>
    <row r="494" spans="28:28" x14ac:dyDescent="0.2">
      <c r="AB494" t="str">
        <f t="shared" si="7"/>
        <v/>
      </c>
    </row>
    <row r="495" spans="28:28" x14ac:dyDescent="0.2">
      <c r="AB495" t="str">
        <f t="shared" si="7"/>
        <v/>
      </c>
    </row>
    <row r="496" spans="28:28" x14ac:dyDescent="0.2">
      <c r="AB496" t="str">
        <f t="shared" si="7"/>
        <v/>
      </c>
    </row>
    <row r="497" spans="28:28" x14ac:dyDescent="0.2">
      <c r="AB497" t="str">
        <f t="shared" si="7"/>
        <v/>
      </c>
    </row>
    <row r="498" spans="28:28" x14ac:dyDescent="0.2">
      <c r="AB498" t="str">
        <f t="shared" si="7"/>
        <v/>
      </c>
    </row>
    <row r="499" spans="28:28" x14ac:dyDescent="0.2">
      <c r="AB499" t="str">
        <f t="shared" si="7"/>
        <v/>
      </c>
    </row>
    <row r="500" spans="28:28" x14ac:dyDescent="0.2">
      <c r="AB500" t="str">
        <f t="shared" si="7"/>
        <v/>
      </c>
    </row>
    <row r="501" spans="28:28" x14ac:dyDescent="0.2">
      <c r="AB501" t="str">
        <f t="shared" si="7"/>
        <v/>
      </c>
    </row>
    <row r="502" spans="28:28" x14ac:dyDescent="0.2">
      <c r="AB502" t="str">
        <f t="shared" si="7"/>
        <v/>
      </c>
    </row>
    <row r="503" spans="28:28" x14ac:dyDescent="0.2">
      <c r="AB503" t="str">
        <f t="shared" si="7"/>
        <v/>
      </c>
    </row>
    <row r="504" spans="28:28" x14ac:dyDescent="0.2">
      <c r="AB504" t="str">
        <f t="shared" si="7"/>
        <v/>
      </c>
    </row>
    <row r="505" spans="28:28" x14ac:dyDescent="0.2">
      <c r="AB505" t="str">
        <f t="shared" si="7"/>
        <v/>
      </c>
    </row>
    <row r="506" spans="28:28" x14ac:dyDescent="0.2">
      <c r="AB506" t="str">
        <f t="shared" si="7"/>
        <v/>
      </c>
    </row>
    <row r="507" spans="28:28" x14ac:dyDescent="0.2">
      <c r="AB507" t="str">
        <f t="shared" si="7"/>
        <v/>
      </c>
    </row>
    <row r="508" spans="28:28" x14ac:dyDescent="0.2">
      <c r="AB508" t="str">
        <f t="shared" si="7"/>
        <v/>
      </c>
    </row>
    <row r="509" spans="28:28" x14ac:dyDescent="0.2">
      <c r="AB509" t="str">
        <f t="shared" si="7"/>
        <v/>
      </c>
    </row>
    <row r="510" spans="28:28" x14ac:dyDescent="0.2">
      <c r="AB510" t="str">
        <f t="shared" si="7"/>
        <v/>
      </c>
    </row>
  </sheetData>
  <autoFilter ref="A1:L256" xr:uid="{00000000-0009-0000-0000-000008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2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1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43" zoomScale="85" zoomScaleNormal="85" workbookViewId="0">
      <selection activeCell="A76" sqref="A76:E76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55" t="s">
        <v>184</v>
      </c>
      <c r="E1" s="55" t="s">
        <v>502</v>
      </c>
      <c r="F1" s="1"/>
      <c r="G1" s="1"/>
    </row>
    <row r="2" spans="1:7" x14ac:dyDescent="0.2">
      <c r="A2" s="56">
        <v>2</v>
      </c>
      <c r="B2" s="57" t="s">
        <v>135</v>
      </c>
      <c r="C2" s="57" t="s">
        <v>95</v>
      </c>
      <c r="D2" s="57"/>
      <c r="E2" s="46" t="s">
        <v>551</v>
      </c>
    </row>
    <row r="3" spans="1:7" x14ac:dyDescent="0.2">
      <c r="A3" s="56">
        <v>1</v>
      </c>
      <c r="B3" s="57" t="s">
        <v>53</v>
      </c>
      <c r="C3" s="57" t="s">
        <v>95</v>
      </c>
      <c r="D3" s="56">
        <v>141.63</v>
      </c>
      <c r="E3" t="s">
        <v>463</v>
      </c>
    </row>
    <row r="4" spans="1:7" x14ac:dyDescent="0.2">
      <c r="A4" s="56">
        <v>14</v>
      </c>
      <c r="B4" s="57" t="s">
        <v>54</v>
      </c>
      <c r="C4" s="57" t="s">
        <v>95</v>
      </c>
      <c r="D4" s="56">
        <v>143.4</v>
      </c>
      <c r="E4" s="46" t="s">
        <v>553</v>
      </c>
    </row>
    <row r="5" spans="1:7" x14ac:dyDescent="0.2">
      <c r="A5" s="56">
        <v>3</v>
      </c>
      <c r="B5" s="57" t="s">
        <v>55</v>
      </c>
      <c r="C5" s="57" t="s">
        <v>95</v>
      </c>
      <c r="D5" s="56">
        <v>93.49</v>
      </c>
      <c r="E5" t="s">
        <v>464</v>
      </c>
    </row>
    <row r="6" spans="1:7" x14ac:dyDescent="0.2">
      <c r="A6" s="56">
        <v>4</v>
      </c>
      <c r="B6" s="57" t="s">
        <v>56</v>
      </c>
      <c r="C6" s="57" t="s">
        <v>95</v>
      </c>
      <c r="D6" s="56">
        <v>141.66</v>
      </c>
      <c r="E6" s="46" t="s">
        <v>465</v>
      </c>
    </row>
    <row r="7" spans="1:7" x14ac:dyDescent="0.2">
      <c r="A7" s="56">
        <v>7</v>
      </c>
      <c r="B7" s="57" t="s">
        <v>136</v>
      </c>
      <c r="C7" s="57" t="s">
        <v>95</v>
      </c>
      <c r="D7" s="57"/>
      <c r="E7" s="2" t="s">
        <v>552</v>
      </c>
    </row>
    <row r="8" spans="1:7" x14ac:dyDescent="0.2">
      <c r="A8" s="56">
        <v>5</v>
      </c>
      <c r="B8" s="57" t="s">
        <v>57</v>
      </c>
      <c r="C8" s="57" t="s">
        <v>95</v>
      </c>
      <c r="D8" s="56">
        <v>127.6</v>
      </c>
      <c r="E8" s="46" t="s">
        <v>466</v>
      </c>
    </row>
    <row r="9" spans="1:7" x14ac:dyDescent="0.2">
      <c r="A9" s="56">
        <v>6</v>
      </c>
      <c r="B9" s="57" t="s">
        <v>58</v>
      </c>
      <c r="C9" s="57" t="s">
        <v>95</v>
      </c>
      <c r="D9" s="56">
        <v>93.99</v>
      </c>
      <c r="E9" s="46" t="s">
        <v>467</v>
      </c>
    </row>
    <row r="10" spans="1:7" x14ac:dyDescent="0.2">
      <c r="A10" s="56">
        <v>8</v>
      </c>
      <c r="B10" s="57" t="s">
        <v>59</v>
      </c>
      <c r="C10" s="57" t="s">
        <v>95</v>
      </c>
      <c r="D10" s="56">
        <v>143.94</v>
      </c>
      <c r="E10" t="s">
        <v>503</v>
      </c>
    </row>
    <row r="11" spans="1:7" x14ac:dyDescent="0.2">
      <c r="A11" s="56">
        <v>50</v>
      </c>
      <c r="B11" s="57" t="s">
        <v>185</v>
      </c>
      <c r="C11" s="57" t="s">
        <v>95</v>
      </c>
      <c r="D11" s="57"/>
      <c r="E11" s="2"/>
    </row>
    <row r="12" spans="1:7" x14ac:dyDescent="0.2">
      <c r="A12" s="56">
        <v>73</v>
      </c>
      <c r="B12" s="57" t="s">
        <v>186</v>
      </c>
      <c r="C12" s="57" t="s">
        <v>95</v>
      </c>
      <c r="D12" s="56">
        <v>189.14</v>
      </c>
      <c r="E12" s="46" t="s">
        <v>555</v>
      </c>
    </row>
    <row r="13" spans="1:7" x14ac:dyDescent="0.2">
      <c r="A13" s="56">
        <v>74</v>
      </c>
      <c r="B13" s="57" t="s">
        <v>187</v>
      </c>
      <c r="C13" s="57" t="s">
        <v>95</v>
      </c>
      <c r="D13" s="56">
        <v>167.33</v>
      </c>
      <c r="E13" s="46" t="s">
        <v>468</v>
      </c>
    </row>
    <row r="14" spans="1:7" x14ac:dyDescent="0.2">
      <c r="A14" s="56">
        <v>75</v>
      </c>
      <c r="B14" s="57" t="s">
        <v>188</v>
      </c>
      <c r="C14" s="57" t="s">
        <v>95</v>
      </c>
      <c r="D14" s="56">
        <v>203.37</v>
      </c>
      <c r="E14" s="46" t="s">
        <v>469</v>
      </c>
    </row>
    <row r="15" spans="1:7" x14ac:dyDescent="0.2">
      <c r="A15" s="56">
        <v>12</v>
      </c>
      <c r="B15" s="57" t="s">
        <v>137</v>
      </c>
      <c r="C15" s="57" t="s">
        <v>95</v>
      </c>
      <c r="D15" s="57"/>
      <c r="E15" s="2" t="s">
        <v>560</v>
      </c>
    </row>
    <row r="16" spans="1:7" x14ac:dyDescent="0.2">
      <c r="A16" s="56">
        <v>9</v>
      </c>
      <c r="B16" s="57" t="s">
        <v>60</v>
      </c>
      <c r="C16" s="57" t="s">
        <v>95</v>
      </c>
      <c r="D16" s="56">
        <v>135.4</v>
      </c>
      <c r="E16" s="46" t="s">
        <v>470</v>
      </c>
    </row>
    <row r="17" spans="1:5" x14ac:dyDescent="0.2">
      <c r="A17" s="56">
        <v>10</v>
      </c>
      <c r="B17" s="57" t="s">
        <v>61</v>
      </c>
      <c r="C17" s="57" t="s">
        <v>95</v>
      </c>
      <c r="D17" s="56">
        <v>129.29</v>
      </c>
      <c r="E17" t="s">
        <v>471</v>
      </c>
    </row>
    <row r="18" spans="1:5" x14ac:dyDescent="0.2">
      <c r="A18" s="56">
        <v>11</v>
      </c>
      <c r="B18" s="57" t="s">
        <v>62</v>
      </c>
      <c r="C18" s="57" t="s">
        <v>95</v>
      </c>
      <c r="D18" s="56">
        <v>116</v>
      </c>
      <c r="E18" s="46" t="s">
        <v>472</v>
      </c>
    </row>
    <row r="19" spans="1:5" x14ac:dyDescent="0.2">
      <c r="A19" s="56">
        <v>15</v>
      </c>
      <c r="B19" s="57" t="s">
        <v>138</v>
      </c>
      <c r="C19" s="57" t="s">
        <v>95</v>
      </c>
      <c r="D19" s="57"/>
      <c r="E19" s="2"/>
    </row>
    <row r="20" spans="1:5" x14ac:dyDescent="0.2">
      <c r="A20" s="56">
        <v>17</v>
      </c>
      <c r="B20" s="57" t="s">
        <v>63</v>
      </c>
      <c r="C20" s="57" t="s">
        <v>95</v>
      </c>
      <c r="D20" s="56">
        <v>148.76</v>
      </c>
      <c r="E20" t="s">
        <v>473</v>
      </c>
    </row>
    <row r="21" spans="1:5" x14ac:dyDescent="0.2">
      <c r="A21" s="56">
        <v>44</v>
      </c>
      <c r="B21" s="57" t="s">
        <v>64</v>
      </c>
      <c r="C21" s="57" t="s">
        <v>95</v>
      </c>
      <c r="D21" s="56">
        <v>165.12</v>
      </c>
      <c r="E21" s="46" t="s">
        <v>554</v>
      </c>
    </row>
    <row r="22" spans="1:5" x14ac:dyDescent="0.2">
      <c r="A22" s="56">
        <v>16</v>
      </c>
      <c r="B22" s="57" t="s">
        <v>65</v>
      </c>
      <c r="C22" s="57" t="s">
        <v>95</v>
      </c>
      <c r="D22" s="56">
        <v>196.17</v>
      </c>
      <c r="E22" s="46" t="s">
        <v>474</v>
      </c>
    </row>
    <row r="23" spans="1:5" x14ac:dyDescent="0.2">
      <c r="A23" s="56">
        <v>18</v>
      </c>
      <c r="B23" s="57" t="s">
        <v>219</v>
      </c>
      <c r="C23" s="57" t="s">
        <v>95</v>
      </c>
      <c r="D23" s="57"/>
    </row>
    <row r="24" spans="1:5" x14ac:dyDescent="0.2">
      <c r="A24" s="56">
        <v>19</v>
      </c>
      <c r="B24" s="57" t="s">
        <v>99</v>
      </c>
      <c r="C24" s="57" t="s">
        <v>95</v>
      </c>
      <c r="D24" s="56">
        <v>163.35</v>
      </c>
      <c r="E24" s="46" t="s">
        <v>475</v>
      </c>
    </row>
    <row r="25" spans="1:5" x14ac:dyDescent="0.2">
      <c r="A25" s="56">
        <v>34</v>
      </c>
      <c r="B25" s="57" t="s">
        <v>102</v>
      </c>
      <c r="C25" s="57" t="s">
        <v>95</v>
      </c>
      <c r="D25" s="56">
        <v>496.98</v>
      </c>
      <c r="E25" s="46" t="s">
        <v>476</v>
      </c>
    </row>
    <row r="26" spans="1:5" x14ac:dyDescent="0.2">
      <c r="A26" s="56">
        <v>20</v>
      </c>
      <c r="B26" s="57" t="s">
        <v>140</v>
      </c>
      <c r="C26" s="57" t="s">
        <v>95</v>
      </c>
      <c r="D26" s="57"/>
    </row>
    <row r="27" spans="1:5" x14ac:dyDescent="0.2">
      <c r="A27" s="56">
        <v>20</v>
      </c>
      <c r="B27" s="57" t="s">
        <v>234</v>
      </c>
      <c r="C27" s="57" t="s">
        <v>197</v>
      </c>
      <c r="D27" s="57"/>
    </row>
    <row r="28" spans="1:5" x14ac:dyDescent="0.2">
      <c r="A28" s="56">
        <v>20</v>
      </c>
      <c r="B28" s="57" t="s">
        <v>139</v>
      </c>
      <c r="C28" s="57" t="s">
        <v>104</v>
      </c>
      <c r="D28" s="57"/>
    </row>
    <row r="29" spans="1:5" x14ac:dyDescent="0.2">
      <c r="A29" s="56">
        <v>31</v>
      </c>
      <c r="B29" s="57" t="s">
        <v>103</v>
      </c>
      <c r="C29" s="57" t="s">
        <v>95</v>
      </c>
      <c r="D29" s="56">
        <v>180.8</v>
      </c>
      <c r="E29" s="46" t="s">
        <v>477</v>
      </c>
    </row>
    <row r="30" spans="1:5" x14ac:dyDescent="0.2">
      <c r="A30" s="56">
        <v>30</v>
      </c>
      <c r="B30" s="57" t="s">
        <v>66</v>
      </c>
      <c r="C30" s="57" t="s">
        <v>95</v>
      </c>
      <c r="D30" s="56">
        <v>165.91</v>
      </c>
      <c r="E30" s="46" t="s">
        <v>478</v>
      </c>
    </row>
    <row r="31" spans="1:5" x14ac:dyDescent="0.2">
      <c r="A31" s="56">
        <v>33</v>
      </c>
      <c r="B31" s="57" t="s">
        <v>105</v>
      </c>
      <c r="C31" s="57" t="s">
        <v>95</v>
      </c>
      <c r="D31" s="56">
        <v>165.91</v>
      </c>
      <c r="E31" s="46" t="s">
        <v>479</v>
      </c>
    </row>
    <row r="32" spans="1:5" x14ac:dyDescent="0.2">
      <c r="A32" s="56">
        <v>32</v>
      </c>
      <c r="B32" s="57" t="s">
        <v>106</v>
      </c>
      <c r="C32" s="57" t="s">
        <v>95</v>
      </c>
      <c r="D32" s="56">
        <v>356.83</v>
      </c>
      <c r="E32" s="46" t="s">
        <v>480</v>
      </c>
    </row>
    <row r="33" spans="1:5" x14ac:dyDescent="0.2">
      <c r="A33" s="56">
        <v>26</v>
      </c>
      <c r="B33" s="57" t="s">
        <v>224</v>
      </c>
      <c r="C33" s="57" t="s">
        <v>95</v>
      </c>
      <c r="D33" s="56">
        <v>180.8</v>
      </c>
      <c r="E33" t="s">
        <v>481</v>
      </c>
    </row>
    <row r="34" spans="1:5" x14ac:dyDescent="0.2">
      <c r="A34" s="56">
        <v>22</v>
      </c>
      <c r="B34" s="57" t="s">
        <v>226</v>
      </c>
      <c r="C34" s="57" t="s">
        <v>95</v>
      </c>
      <c r="D34" s="56">
        <v>180.8</v>
      </c>
      <c r="E34" s="46" t="s">
        <v>482</v>
      </c>
    </row>
    <row r="35" spans="1:5" x14ac:dyDescent="0.2">
      <c r="A35" s="56">
        <v>21</v>
      </c>
      <c r="B35" s="57" t="s">
        <v>227</v>
      </c>
      <c r="C35" s="57" t="s">
        <v>95</v>
      </c>
      <c r="D35" s="56">
        <v>197.26</v>
      </c>
      <c r="E35" s="46" t="s">
        <v>483</v>
      </c>
    </row>
    <row r="36" spans="1:5" x14ac:dyDescent="0.2">
      <c r="A36" s="56">
        <v>25</v>
      </c>
      <c r="B36" s="57" t="s">
        <v>228</v>
      </c>
      <c r="C36" s="57" t="s">
        <v>95</v>
      </c>
      <c r="D36" s="56">
        <v>195.72</v>
      </c>
      <c r="E36" s="46" t="s">
        <v>484</v>
      </c>
    </row>
    <row r="37" spans="1:5" x14ac:dyDescent="0.2">
      <c r="A37" s="56">
        <v>28</v>
      </c>
      <c r="B37" s="57" t="s">
        <v>107</v>
      </c>
      <c r="C37" s="57" t="s">
        <v>95</v>
      </c>
      <c r="D37" s="56">
        <v>348.23</v>
      </c>
      <c r="E37" t="s">
        <v>485</v>
      </c>
    </row>
    <row r="38" spans="1:5" x14ac:dyDescent="0.2">
      <c r="A38" s="56">
        <v>23</v>
      </c>
      <c r="B38" s="57" t="s">
        <v>67</v>
      </c>
      <c r="C38" s="57" t="s">
        <v>95</v>
      </c>
      <c r="D38" s="56">
        <v>195.72</v>
      </c>
      <c r="E38" s="46" t="s">
        <v>486</v>
      </c>
    </row>
    <row r="39" spans="1:5" x14ac:dyDescent="0.2">
      <c r="A39" s="56">
        <v>27</v>
      </c>
      <c r="B39" s="57" t="s">
        <v>109</v>
      </c>
      <c r="C39" s="57" t="s">
        <v>95</v>
      </c>
      <c r="D39" s="56">
        <v>197.32</v>
      </c>
      <c r="E39" s="46" t="s">
        <v>504</v>
      </c>
    </row>
    <row r="40" spans="1:5" x14ac:dyDescent="0.2">
      <c r="A40" s="56">
        <v>24</v>
      </c>
      <c r="B40" s="57" t="s">
        <v>141</v>
      </c>
      <c r="C40" s="57"/>
      <c r="D40" s="57"/>
      <c r="E40" s="2"/>
    </row>
    <row r="41" spans="1:5" x14ac:dyDescent="0.2">
      <c r="A41" s="56">
        <v>29</v>
      </c>
      <c r="B41" s="57" t="s">
        <v>142</v>
      </c>
      <c r="C41" s="57"/>
      <c r="D41" s="57"/>
      <c r="E41" s="2"/>
    </row>
    <row r="42" spans="1:5" x14ac:dyDescent="0.2">
      <c r="A42" s="56">
        <v>51</v>
      </c>
      <c r="B42" s="57" t="s">
        <v>144</v>
      </c>
      <c r="C42" s="57" t="s">
        <v>104</v>
      </c>
      <c r="D42" s="57"/>
      <c r="E42" s="2"/>
    </row>
    <row r="43" spans="1:5" x14ac:dyDescent="0.2">
      <c r="A43" s="56">
        <v>51</v>
      </c>
      <c r="B43" s="57" t="s">
        <v>143</v>
      </c>
      <c r="C43" s="57" t="s">
        <v>95</v>
      </c>
      <c r="D43" s="57"/>
      <c r="E43" s="2"/>
    </row>
    <row r="44" spans="1:5" x14ac:dyDescent="0.2">
      <c r="A44" s="56">
        <v>51</v>
      </c>
      <c r="B44" s="57" t="s">
        <v>235</v>
      </c>
      <c r="C44" s="57" t="s">
        <v>197</v>
      </c>
      <c r="D44" s="57"/>
      <c r="E44" s="2"/>
    </row>
    <row r="45" spans="1:5" x14ac:dyDescent="0.2">
      <c r="A45" s="56">
        <v>46</v>
      </c>
      <c r="B45" s="57" t="s">
        <v>68</v>
      </c>
      <c r="C45" s="57" t="s">
        <v>95</v>
      </c>
      <c r="D45" s="56">
        <v>165.47</v>
      </c>
      <c r="E45" s="46" t="s">
        <v>487</v>
      </c>
    </row>
    <row r="46" spans="1:5" x14ac:dyDescent="0.2">
      <c r="A46" s="56">
        <v>52</v>
      </c>
      <c r="B46" s="57" t="s">
        <v>69</v>
      </c>
      <c r="C46" s="57" t="s">
        <v>95</v>
      </c>
      <c r="D46" s="56">
        <v>61.95</v>
      </c>
      <c r="E46" s="46" t="s">
        <v>505</v>
      </c>
    </row>
    <row r="47" spans="1:5" x14ac:dyDescent="0.2">
      <c r="A47" s="56">
        <v>47</v>
      </c>
      <c r="B47" s="57" t="s">
        <v>86</v>
      </c>
      <c r="C47" s="57" t="s">
        <v>95</v>
      </c>
      <c r="D47" s="56">
        <v>165.44</v>
      </c>
      <c r="E47" s="46" t="s">
        <v>488</v>
      </c>
    </row>
    <row r="48" spans="1:5" x14ac:dyDescent="0.2">
      <c r="A48" s="56">
        <v>48</v>
      </c>
      <c r="B48" s="57" t="s">
        <v>111</v>
      </c>
      <c r="C48" s="57" t="s">
        <v>95</v>
      </c>
      <c r="D48" s="56">
        <v>174.38</v>
      </c>
      <c r="E48" s="46" t="s">
        <v>489</v>
      </c>
    </row>
    <row r="49" spans="1:5" x14ac:dyDescent="0.2">
      <c r="A49" s="56">
        <v>49</v>
      </c>
      <c r="B49" s="57" t="s">
        <v>231</v>
      </c>
      <c r="C49" s="57" t="s">
        <v>95</v>
      </c>
      <c r="D49" s="56">
        <v>165.44</v>
      </c>
      <c r="E49" s="46" t="s">
        <v>491</v>
      </c>
    </row>
    <row r="50" spans="1:5" x14ac:dyDescent="0.2">
      <c r="A50" s="56">
        <v>53</v>
      </c>
      <c r="B50" s="57" t="s">
        <v>70</v>
      </c>
      <c r="C50" s="57" t="s">
        <v>95</v>
      </c>
      <c r="D50" s="56">
        <v>165.45</v>
      </c>
      <c r="E50" s="46" t="s">
        <v>490</v>
      </c>
    </row>
    <row r="51" spans="1:5" x14ac:dyDescent="0.2">
      <c r="A51" s="56">
        <v>54</v>
      </c>
      <c r="B51" s="57" t="s">
        <v>71</v>
      </c>
      <c r="C51" s="57" t="s">
        <v>95</v>
      </c>
      <c r="D51" s="56">
        <v>208.78</v>
      </c>
      <c r="E51" t="s">
        <v>492</v>
      </c>
    </row>
    <row r="52" spans="1:5" x14ac:dyDescent="0.2">
      <c r="A52" s="56">
        <v>55</v>
      </c>
      <c r="B52" s="57" t="s">
        <v>72</v>
      </c>
      <c r="C52" s="57" t="s">
        <v>95</v>
      </c>
      <c r="D52" s="56">
        <v>171.18</v>
      </c>
      <c r="E52" s="46" t="s">
        <v>493</v>
      </c>
    </row>
    <row r="53" spans="1:5" x14ac:dyDescent="0.2">
      <c r="A53" s="56">
        <v>45</v>
      </c>
      <c r="B53" s="57" t="s">
        <v>145</v>
      </c>
      <c r="C53" s="57"/>
      <c r="D53" s="57"/>
      <c r="E53" s="2"/>
    </row>
    <row r="54" spans="1:5" x14ac:dyDescent="0.2">
      <c r="A54" s="56">
        <v>61</v>
      </c>
      <c r="B54" s="57" t="s">
        <v>147</v>
      </c>
      <c r="C54" s="57" t="s">
        <v>104</v>
      </c>
      <c r="D54" s="57"/>
      <c r="E54" s="2"/>
    </row>
    <row r="55" spans="1:5" x14ac:dyDescent="0.2">
      <c r="A55" s="56">
        <v>61</v>
      </c>
      <c r="B55" s="57" t="s">
        <v>146</v>
      </c>
      <c r="C55" s="57" t="s">
        <v>116</v>
      </c>
      <c r="D55" s="57"/>
      <c r="E55" s="2"/>
    </row>
    <row r="56" spans="1:5" x14ac:dyDescent="0.2">
      <c r="A56" s="56">
        <v>61</v>
      </c>
      <c r="B56" s="57" t="s">
        <v>233</v>
      </c>
      <c r="C56" s="57" t="s">
        <v>197</v>
      </c>
      <c r="D56" s="57"/>
      <c r="E56" s="2"/>
    </row>
    <row r="57" spans="1:5" x14ac:dyDescent="0.2">
      <c r="A57" s="56">
        <v>61</v>
      </c>
      <c r="B57" s="57" t="s">
        <v>148</v>
      </c>
      <c r="C57" s="57" t="s">
        <v>95</v>
      </c>
      <c r="D57" s="57"/>
      <c r="E57" s="2"/>
    </row>
    <row r="58" spans="1:5" x14ac:dyDescent="0.2">
      <c r="A58" s="56">
        <v>66</v>
      </c>
      <c r="B58" s="57" t="s">
        <v>73</v>
      </c>
      <c r="C58" s="57" t="s">
        <v>95</v>
      </c>
      <c r="D58" s="56">
        <v>201.41</v>
      </c>
      <c r="E58" s="46" t="s">
        <v>494</v>
      </c>
    </row>
    <row r="59" spans="1:5" x14ac:dyDescent="0.2">
      <c r="A59" s="56">
        <v>67</v>
      </c>
      <c r="B59" s="57" t="s">
        <v>112</v>
      </c>
      <c r="C59" s="57" t="s">
        <v>95</v>
      </c>
      <c r="D59" s="56">
        <v>165.45</v>
      </c>
      <c r="E59" s="46" t="s">
        <v>495</v>
      </c>
    </row>
    <row r="60" spans="1:5" x14ac:dyDescent="0.2">
      <c r="A60" s="56">
        <v>63</v>
      </c>
      <c r="B60" s="57" t="s">
        <v>115</v>
      </c>
      <c r="C60" s="57" t="s">
        <v>95</v>
      </c>
      <c r="D60" s="56">
        <v>180.37</v>
      </c>
      <c r="E60" s="46" t="s">
        <v>496</v>
      </c>
    </row>
    <row r="61" spans="1:5" x14ac:dyDescent="0.2">
      <c r="A61" s="56">
        <v>68</v>
      </c>
      <c r="B61" s="57" t="s">
        <v>117</v>
      </c>
      <c r="C61" s="57" t="s">
        <v>95</v>
      </c>
      <c r="D61" s="56">
        <v>165.41</v>
      </c>
      <c r="E61" s="46" t="s">
        <v>497</v>
      </c>
    </row>
    <row r="62" spans="1:5" x14ac:dyDescent="0.2">
      <c r="A62" s="56">
        <v>64</v>
      </c>
      <c r="B62" s="57" t="s">
        <v>74</v>
      </c>
      <c r="C62" s="57" t="s">
        <v>95</v>
      </c>
      <c r="D62" s="56">
        <v>165.54</v>
      </c>
      <c r="E62" s="46" t="s">
        <v>498</v>
      </c>
    </row>
    <row r="63" spans="1:5" x14ac:dyDescent="0.2">
      <c r="A63" s="56">
        <v>71</v>
      </c>
      <c r="B63" s="57" t="s">
        <v>118</v>
      </c>
      <c r="C63" s="57" t="s">
        <v>95</v>
      </c>
      <c r="D63" s="56">
        <v>165.41</v>
      </c>
      <c r="E63" s="46" t="s">
        <v>499</v>
      </c>
    </row>
    <row r="64" spans="1:5" x14ac:dyDescent="0.2">
      <c r="A64" s="56">
        <v>70</v>
      </c>
      <c r="B64" s="57" t="s">
        <v>119</v>
      </c>
      <c r="C64" s="57" t="s">
        <v>95</v>
      </c>
      <c r="D64" s="56">
        <v>201.56</v>
      </c>
      <c r="E64" t="s">
        <v>500</v>
      </c>
    </row>
    <row r="65" spans="1:5" x14ac:dyDescent="0.2">
      <c r="A65" s="56">
        <v>65</v>
      </c>
      <c r="B65" s="57" t="s">
        <v>75</v>
      </c>
      <c r="C65" s="57" t="s">
        <v>95</v>
      </c>
      <c r="D65" s="56">
        <v>171.18</v>
      </c>
      <c r="E65" t="s">
        <v>501</v>
      </c>
    </row>
    <row r="66" spans="1:5" x14ac:dyDescent="0.2">
      <c r="A66" s="56">
        <v>62</v>
      </c>
      <c r="B66" s="57" t="s">
        <v>149</v>
      </c>
      <c r="C66" s="57"/>
      <c r="D66" s="57"/>
      <c r="E66" s="2"/>
    </row>
    <row r="67" spans="1:5" x14ac:dyDescent="0.2">
      <c r="A67" s="56">
        <v>36</v>
      </c>
      <c r="B67" s="57" t="s">
        <v>150</v>
      </c>
      <c r="C67" s="57"/>
      <c r="D67" s="57"/>
      <c r="E67" s="2"/>
    </row>
    <row r="68" spans="1:5" x14ac:dyDescent="0.2">
      <c r="A68" s="56">
        <v>40</v>
      </c>
      <c r="B68" s="57" t="s">
        <v>122</v>
      </c>
      <c r="C68" s="57" t="s">
        <v>130</v>
      </c>
      <c r="D68" s="57"/>
      <c r="E68" s="2"/>
    </row>
    <row r="69" spans="1:5" x14ac:dyDescent="0.2">
      <c r="A69" s="56">
        <v>37</v>
      </c>
      <c r="B69" s="57" t="s">
        <v>123</v>
      </c>
      <c r="C69" s="57" t="s">
        <v>131</v>
      </c>
      <c r="D69" s="57"/>
      <c r="E69" s="2"/>
    </row>
    <row r="70" spans="1:5" x14ac:dyDescent="0.2">
      <c r="A70" s="56">
        <v>38</v>
      </c>
      <c r="B70" s="57" t="s">
        <v>124</v>
      </c>
      <c r="C70" s="57" t="s">
        <v>131</v>
      </c>
      <c r="D70" s="57"/>
      <c r="E70" s="2"/>
    </row>
    <row r="71" spans="1:5" x14ac:dyDescent="0.2">
      <c r="A71" s="56">
        <v>41</v>
      </c>
      <c r="B71" s="57" t="s">
        <v>125</v>
      </c>
      <c r="C71" s="57" t="s">
        <v>130</v>
      </c>
      <c r="D71" s="57"/>
      <c r="E71" s="2"/>
    </row>
    <row r="72" spans="1:5" x14ac:dyDescent="0.2">
      <c r="A72" s="56">
        <v>39</v>
      </c>
      <c r="B72" s="57" t="s">
        <v>126</v>
      </c>
      <c r="C72" s="57" t="s">
        <v>131</v>
      </c>
      <c r="D72" s="57"/>
      <c r="E72" s="2"/>
    </row>
    <row r="73" spans="1:5" x14ac:dyDescent="0.2">
      <c r="A73" s="56">
        <v>35</v>
      </c>
      <c r="B73" s="57" t="s">
        <v>127</v>
      </c>
      <c r="C73" s="57"/>
      <c r="D73" s="57"/>
      <c r="E73" s="2"/>
    </row>
    <row r="74" spans="1:5" x14ac:dyDescent="0.2">
      <c r="A74" s="56">
        <v>43</v>
      </c>
      <c r="B74" s="57" t="s">
        <v>128</v>
      </c>
      <c r="C74" s="57" t="s">
        <v>130</v>
      </c>
      <c r="D74" s="57"/>
      <c r="E74" s="2"/>
    </row>
    <row r="75" spans="1:5" x14ac:dyDescent="0.2">
      <c r="A75" s="56">
        <v>42</v>
      </c>
      <c r="B75" s="57" t="s">
        <v>129</v>
      </c>
      <c r="C75" s="57" t="s">
        <v>197</v>
      </c>
      <c r="D75" s="57"/>
      <c r="E75" s="2"/>
    </row>
    <row r="76" spans="1:5" x14ac:dyDescent="0.2">
      <c r="A76" s="3">
        <v>81</v>
      </c>
      <c r="B76" s="2" t="s">
        <v>1012</v>
      </c>
      <c r="C76" s="2" t="s">
        <v>197</v>
      </c>
      <c r="D76" s="2">
        <v>81</v>
      </c>
      <c r="E76" s="46" t="s">
        <v>992</v>
      </c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373</v>
      </c>
    </row>
    <row r="25" spans="1:3" x14ac:dyDescent="0.2">
      <c r="A25" s="3">
        <v>34</v>
      </c>
      <c r="B25" s="3">
        <v>88</v>
      </c>
      <c r="C25" s="2" t="s">
        <v>374</v>
      </c>
    </row>
  </sheetData>
  <phoneticPr fontId="0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size="40" baseType="lpstr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</cp:lastModifiedBy>
  <cp:lastPrinted>2018-10-20T08:45:10Z</cp:lastPrinted>
  <dcterms:created xsi:type="dcterms:W3CDTF">2007-01-07T18:12:56Z</dcterms:created>
  <dcterms:modified xsi:type="dcterms:W3CDTF">2022-06-26T09:20:24Z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