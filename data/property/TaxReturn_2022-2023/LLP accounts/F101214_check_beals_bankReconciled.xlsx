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8_{3339E516-2EDB-4C39-941A-AB4F808F0463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beals" sheetId="1" r:id="rId1"/>
  </sheets>
  <definedNames>
    <definedName name="_xlnm._FilterDatabase" localSheetId="0" hidden="1">beals!$A$1:$O$439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7" i="1" l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16" i="1"/>
  <c r="M15" i="1"/>
  <c r="L22" i="1"/>
</calcChain>
</file>

<file path=xl/sharedStrings.xml><?xml version="1.0" encoding="utf-8"?>
<sst xmlns="http://schemas.openxmlformats.org/spreadsheetml/2006/main" count="1644" uniqueCount="189">
  <si>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</si>
  <si>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</si>
  <si>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</si>
  <si>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</si>
  <si>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</si>
  <si>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</si>
  <si>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</si>
  <si>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</si>
  <si>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</si>
  <si>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</si>
  <si>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</si>
  <si>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</si>
  <si>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</si>
  <si>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</si>
  <si>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196AKIN</t>
  </si>
  <si>
    <t>F101214ALH</t>
  </si>
  <si>
    <t>F111618ALH</t>
  </si>
  <si>
    <t>F1169FAW</t>
  </si>
  <si>
    <t>F1171FAW</t>
  </si>
  <si>
    <t>F121618ALH</t>
  </si>
  <si>
    <t>F1321LON</t>
  </si>
  <si>
    <t>F141214ALH</t>
  </si>
  <si>
    <t>F161214ALH</t>
  </si>
  <si>
    <t>F161618ALH</t>
  </si>
  <si>
    <t>F1846ALH</t>
  </si>
  <si>
    <t>F1946ALH</t>
  </si>
  <si>
    <t>F2046ALH</t>
  </si>
  <si>
    <t>F2146ALH</t>
  </si>
  <si>
    <t>F2171FAW</t>
  </si>
  <si>
    <t>F31214ALH</t>
  </si>
  <si>
    <t>F31618ALH</t>
  </si>
  <si>
    <t>F3163FRA</t>
  </si>
  <si>
    <t>F41214ALH</t>
  </si>
  <si>
    <t>F4321LON</t>
  </si>
  <si>
    <t>F51214ALH</t>
  </si>
  <si>
    <t>F61618ALH</t>
  </si>
  <si>
    <t>F68ALH</t>
  </si>
  <si>
    <t>F71214ALH</t>
  </si>
  <si>
    <t>F71618ALH</t>
  </si>
  <si>
    <t>F78ALH</t>
  </si>
  <si>
    <t>F88ALH</t>
  </si>
  <si>
    <t>SHOP196KIN</t>
  </si>
  <si>
    <t>Legislation &amp; Compliance  - 196a Kingston Road, Portsmouth</t>
  </si>
  <si>
    <t>Rent for period 01/05/2022 - 31/05/2022 from Ms Jo Henson - 196a Kingston Road, Portsmouth</t>
  </si>
  <si>
    <t>Management Fee at 7% - 196a Kingston Road, Portsmouth</t>
  </si>
  <si>
    <t>Amount payable to Mr Mathew Tucker - 196a Kingston Road, Portsmouth</t>
  </si>
  <si>
    <t>Rent for period 01/06/2022 - 30/06/2022 from Ms Jo Henson - 196a Kingston Road, Portsmouth</t>
  </si>
  <si>
    <t>Rent for period 01/07/2022 - 31/07/2022 from Ms Jo Henson - 196a Kingston Road, Portsmouth</t>
  </si>
  <si>
    <t>Rent for period 20/03/2022 - 19/04/2022 from Mr Andrew England - Flat 10, 12-14 Alhambra Road, Southsea</t>
  </si>
  <si>
    <t>Management Fee at 7% - Flat 10, 12-14 Alhambra Road, Southsea</t>
  </si>
  <si>
    <t>Amount payable to Mr Mathew Tucker - Flat 10, 12-14 Alhambra Road, Southsea</t>
  </si>
  <si>
    <t>Rent for period 20/04/2022 - 19/05/2022 from Mr Andrew England - Flat 10, 12-14 Alhambra Road, Southsea</t>
  </si>
  <si>
    <t>Legislation &amp; Compliance  - Flat 10, 12-14 Alhambra Road, Southsea</t>
  </si>
  <si>
    <t>Rent for period 20/05/2022 - 19/06/2022 from Mr Andrew England - Flat 10, 12-14 Alhambra Road, Southsea</t>
  </si>
  <si>
    <t>Rent for period 20/06/2022 - 19/07/2022 from Mr Andrew England - Flat 10, 12-14 Alhambra Road, Southsea</t>
  </si>
  <si>
    <t>Rent for period 20/07/2022 - 19/08/2022 from Mr Andrew England - Flat 10, 12-14 Alhambra Road, Southsea</t>
  </si>
  <si>
    <t>Rent for period 12/04/2022 - 11/05/2022 from Mr Sam Yates - Flat 11, 16-18 Alhambra Road, Southsea</t>
  </si>
  <si>
    <t>Management Fee at 7% - Flat 11, 16-18 Alhambra Road, Southsea</t>
  </si>
  <si>
    <t>Amount payable to Mr Mathew Tucker - Flat 11, 16-18 Alhambra Road, Southsea</t>
  </si>
  <si>
    <t>Legislation &amp; Compliance  - Flat 11, 16-18 Alhambra Road, Southsea</t>
  </si>
  <si>
    <t>Rent for period 12/05/2022 - 11/06/2022 from Mr Sam Yates - Flat 11, 16-18 Alhambra Road, Southsea</t>
  </si>
  <si>
    <t>Rent for period 12/06/2022 - 11/07/2022 from Mr Sam Yates - Flat 11, 16-18 Alhambra Road, Southsea</t>
  </si>
  <si>
    <t>Rent for period 12/07/2022 - 11/08/2022 from Mr Sam Yates - Flat 11, 16-18 Alhambra Road, Southsea</t>
  </si>
  <si>
    <t>Rent for period 06/04/2022 - 05/05/2022 from Ms Susan Parkinson - Flat 1, 169 Fawcett Road, Southsea</t>
  </si>
  <si>
    <t>Management Fee at 7% - Flat 1, 169 Fawcett Road, Southsea</t>
  </si>
  <si>
    <t>Rent for period 06/03/2022 - 05/04/2022 from Ms Susan Parkinson - Flat 1, 169 Fawcett Road, Southsea</t>
  </si>
  <si>
    <t>Amount payable to Mr Mathew Tucker - Flat 1, 169 Fawcett Road, Southsea</t>
  </si>
  <si>
    <t>Legislation &amp; Compliance  - Flat 1, 169 Fawcett Road, Southsea</t>
  </si>
  <si>
    <t>Rent for period 06/05/2022 - 05/06/2022 from Ms Susan Parkinson - Flat 1, 169 Fawcett Road, Southsea</t>
  </si>
  <si>
    <t>Rent for period 06/06/2022 - 05/07/2022 from Ms Susan Parkinson - Flat 1, 169 Fawcett Road, Southsea</t>
  </si>
  <si>
    <t>Rent for period 06/07/2022 - 05/08/2022 from Ms Susan Parkinson - Flat 1, 169 Fawcett Road, Southsea</t>
  </si>
  <si>
    <t>Rent for period 06/02/2022 - 05/03/2022 from Ms Kirstine Aldridge - Flat 1, 171 Fawcett Road, Southsea</t>
  </si>
  <si>
    <t>Management Fee at 7% - Flat 1, 171 Fawcett Road, Southsea</t>
  </si>
  <si>
    <t>Rent for period 06/03/2022 - 05/04/2022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</si>
  <si>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</si>
  <si>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</si>
  <si>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06/04/2022 - 05/05/2022 from Ms Kirstine Aldridge - Flat 1, 171 Fawcett Road, Southsea</t>
  </si>
  <si>
    <t>Rent for period 06/06/2022 - 05/07/2022 from Ms Kirstine Aldridge - Flat 1, 171 Fawcett Road, Southsea</t>
  </si>
  <si>
    <t>Rent for period 06/05/2022 - 05/06/2022 from Ms Kirstine Aldridge - Flat 1, 171 Fawcett Road, Southsea</t>
  </si>
  <si>
    <t>Rent for period 06/07/2022 - 05/08/2022 from Ms Kirstine Aldridge - Flat 1, 171 Fawcett Road, Southsea</t>
  </si>
  <si>
    <t>Rent for period 19/03/2022 - 18/04/2022 from Mr Jason Passmore - Flat 12, 16-18 Alhambra Road, Southsea</t>
  </si>
  <si>
    <t>Management Fee at 7% - Flat 12, 16-18 Alhambra Road, Southsea</t>
  </si>
  <si>
    <t>Amount payable to Ms Ivana Valentino - Flat 12, 16-18 Alhambra Road, Southsea</t>
  </si>
  <si>
    <t>Rent for period 19/04/2022 - 18/05/2022 from Mr Jason Passmore - Flat 12, 16-18 Alhambra Road, Southsea</t>
  </si>
  <si>
    <t>Legislation &amp; Compliance  - Flat 12, 16-18 Alhambra Road, Southsea</t>
  </si>
  <si>
    <t>Rent for period 19/05/2022 - 18/06/2022 from Mr Jason Passmore - Flat 12, 16-18 Alhambra Road, Southsea</t>
  </si>
  <si>
    <t>Rent for period 19/06/2022 - 18/07/2022 from Mr Jason Passmore - Flat 12, 16-18 Alhambra Road, Southsea</t>
  </si>
  <si>
    <t>Rent for period 19/07/2022 - 18/08/2022 from Mr Jason Passmore - Flat 12, 16-18 Alhambra Road, Southsea</t>
  </si>
  <si>
    <t>Rent for period 25/04/2022 - 24/05/2022 from Ms Sharon Briscoe - Flat 1, 321 London Road, Portsmouth</t>
  </si>
  <si>
    <t>Management Fee at 7% - Flat 1, 321 London Road, Portsmouth</t>
  </si>
  <si>
    <t>Amount payable to Mr Mathew Tucker - Flat 1, 321 London Road, Portsmouth</t>
  </si>
  <si>
    <t>Legislation &amp; Compliance  - Flat 1, 321 London Road, Portsmouth</t>
  </si>
  <si>
    <t>Rent for period 25/05/2022 - 24/06/2022 from Ms Sharon Briscoe - Flat 1, 321 London Road, Portsmouth</t>
  </si>
  <si>
    <t>Rent for period 25/06/2022 - 24/07/2022 from Ms Sharon Briscoe - Flat 1, 321 London Road, Portsmouth</t>
  </si>
  <si>
    <t>Rent for period 25/07/2022 - 24/08/2022 from Ms Sharon Briscoe - Flat 1, 321 London Road, Portsmouth</t>
  </si>
  <si>
    <t>Rent for period 06/04/2022 - 05/05/2022 from Mr Paul McIlwraith - Flat 14, 12-14 Alhambra Road, Southsea</t>
  </si>
  <si>
    <t>Management Fee at 7% - Flat 14, 12-14 Alhambra Road, Southsea</t>
  </si>
  <si>
    <t>Amount payable to Mr Mathew Tucker - Flat 14, 12-14 Alhambra Road, Southsea</t>
  </si>
  <si>
    <t>Legislation &amp; Compliance  - Flat 14, 12-14 Alhambra Road, Southsea</t>
  </si>
  <si>
    <t>Rent for period 06/05/2022 - 05/06/2022 from Mr Paul McIlwraith - Flat 14, 12-14 Alhambra Road, Southsea</t>
  </si>
  <si>
    <t>Rent for period 06/06/2022 - 05/07/2022 from Mr Paul McIlwraith - Flat 14, 12-14 Alhambra Road, Southsea</t>
  </si>
  <si>
    <t>Rent for period 06/07/2022 - 05/08/2022 from Mr Paul McIlwraith - Flat 14, 12-14 Alhambra Road, Southsea</t>
  </si>
  <si>
    <t>Rent for period 19/03/2022 - 18/04/2022 from Mr Aubrey Milligan - Flat 16, 12-14 Alhambra Road, Southsea</t>
  </si>
  <si>
    <t>Management Fee at 6% - Flat 16, 12-14 Alhambra Road, Southsea</t>
  </si>
  <si>
    <t>Rent for period 19/02/2022 - 18/03/2022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</si>
  <si>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</si>
  <si>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</si>
  <si>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19/04/2022 - 18/05/2022 from Mr Aubrey Milligan - Flat 16, 12-14 Alhambra Road, Southsea</t>
  </si>
  <si>
    <t>Rent for period 19/05/2022 - 18/06/2022 from Mr Aubrey Milligan - Flat 16, 12-14 Alhambra Road, Southsea</t>
  </si>
  <si>
    <t>Rent for period 19/06/2022 - 18/07/2022 from Mr Aubrey Milligan - Flat 16, 12-14 Alhambra Road, Southsea</t>
  </si>
  <si>
    <t>Rent for period 19/07/2022 - 18/08/2022 from Mr Aubrey Milligan - Flat 16, 12-14 Alhambra Road, Southsea</t>
  </si>
  <si>
    <t>Legislation &amp; Compliance - Flat 16, 16-18 Alhambra Road, Southsea</t>
  </si>
  <si>
    <t>Legislation &amp; Compliance  - Flat 18, 4-6 Alhambra Road, Southsea</t>
  </si>
  <si>
    <t>Legislation &amp; Compliance  - Flat 19, 4-6 Alhambra Road, Southsea</t>
  </si>
  <si>
    <t>Legislation &amp; Compliance  - Flat 20, 4-6 Alhambra Road, Southsea</t>
  </si>
  <si>
    <t>Legislation &amp; Compliance  - Flat 21, 4-6 Alhambra Road, Southsea</t>
  </si>
  <si>
    <t>Rent for period 02/04/2022 - 01/05/2022 from Mr Michael Pedace - Flat 2, 171 Fawcett Road, Southsea</t>
  </si>
  <si>
    <t>Management Fee at 7% - Flat 2, 171 Fawcett Road, Southsea</t>
  </si>
  <si>
    <t>Rent for period 02/03/2022 - 01/04/2022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</si>
  <si>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</si>
  <si>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</si>
  <si>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02/05/2022 - 01/06/2022 from Mr Michael Pedace - Flat 2, 171 Fawcett Road, Southsea</t>
  </si>
  <si>
    <t>Rent for period 02/06/2022 - 01/07/2022 from Mr Michael Pedace - Flat 2, 171 Fawcett Road, Southsea</t>
  </si>
  <si>
    <t>Rent for period 02/07/2022 - 01/08/2022 from Mr Michael Pedace - Flat 2, 171 Fawcett Road, Southsea</t>
  </si>
  <si>
    <t>Deposit to landlord for damage, decoration &amp; cleaning - Flat 3, 12-14 Alhambra Road, Southsea</t>
  </si>
  <si>
    <t>Amount payable to Ms Ivana Valentino</t>
  </si>
  <si>
    <t>Legislation &amp; Compliance  - Flat 3, 16-18 Alhambra Road, Southsea</t>
  </si>
  <si>
    <t>Rent for period 14/03/2022 - 13/04/2022 from Mr Martin Brett - Flat 3, 163 Fratton Road, Portsmouth</t>
  </si>
  <si>
    <t>Management Fee at 7% - Flat 3, 163 Fratton Road, Portsmouth</t>
  </si>
  <si>
    <t>Amount payable to Mr Mathew Tucker - Flat 3, 163 Fratton Road, Portsmouth</t>
  </si>
  <si>
    <t>Rent for period 14/04/2022 - 13/05/2022 from Mr Martin Brett - Flat 3, 163 Fratton Road, Portsmouth</t>
  </si>
  <si>
    <t>Legislation &amp; Compliance  - Flat 3, 163 Fratton Road, Portsmouth</t>
  </si>
  <si>
    <t>Rent for period 14/05/2022 - 13/06/2022 from Mr Martin Brett - Flat 3, 163 Fratton Road, Portsmouth</t>
  </si>
  <si>
    <t>Rent for period 14/06/2022 - 13/07/2022 from Mr Martin Brett - Flat 3, 163 Fratton Road, Portsmouth</t>
  </si>
  <si>
    <t>Rent for period 14/07/2022 - 13/08/2022 from Mr Martin Brett - Flat 3, 163 Fratton Road, Portsmouth</t>
  </si>
  <si>
    <t>Legislation &amp; Compliance  - Flat 4, 12-14 Alhambra Road, Southsea</t>
  </si>
  <si>
    <t>Legislation &amp; Compliance  - Flat 4, 321 London Road, Portsmouth</t>
  </si>
  <si>
    <t>Rent for period 23/03/2022 - 22/04/2022 from Mr Michael Valverde - Flat 5, 12-14 Alhambra Road, Southsea</t>
  </si>
  <si>
    <t>Management Fee at 7% - Flat 5, 12-14 Alhambra Road, Southsea</t>
  </si>
  <si>
    <t>Amount payable to Ms Ivana Valentino - Flat 5, 12-14 Alhambra Road, Southsea</t>
  </si>
  <si>
    <t>Rent for period 23/04/2022 - 22/05/2022 from Mr Michael Valverde - Flat 5, 12-14 Alhambra Road, Southsea</t>
  </si>
  <si>
    <t>Legislation &amp; Compliance  - Flat 5, 12-14 Alhambra Road, Southsea</t>
  </si>
  <si>
    <t>Rent for period 23/05/2022 - 22/06/2022 from Mr Michael Valverde - Flat 5, 12-14 Alhambra Road, Southsea</t>
  </si>
  <si>
    <t>Rent for period 23/06/2022 - 22/07/2022 from Mr Michael Valverde - Flat 5, 12-14 Alhambra Road, Southsea</t>
  </si>
  <si>
    <t>Rent for period 23/07/2022 - 22/08/2022 from Mr Michael Valverde - Flat 5, 12-14 Alhambra Road, Southsea</t>
  </si>
  <si>
    <t>Rent for period 12/03/2022 - 11/04/2022 from Mr Peter Taperek - Flat 6, 16-18 Alhambra Road, Southsea</t>
  </si>
  <si>
    <t>Management Fee at 7% - Flat 6, 16-18 Alhambra Road, Southsea</t>
  </si>
  <si>
    <t>Rent for period 12/04/2022 - 11/05/2022 from Mr Peter Taperek - Flat 6, 16-18 Alhambra Road, Southsea</t>
  </si>
  <si>
    <t>Amount payable to Mr Mathew Tucker - Flat 6, 16-18 Alhambra Road, Southsea</t>
  </si>
  <si>
    <t>Legislation &amp; Compliance  - Flat 6, 16-18 Alhambra Road, Southsea</t>
  </si>
  <si>
    <t>Rent for period 12/05/2022 - 11/06/2022 from Mr Peter Taperek - Flat 6, 16-18 Alhambra Road, Southsea</t>
  </si>
  <si>
    <t>Rent for period 12/06/2022 - 11/07/2022 from Mr Peter Taperek - Flat 6, 16-18 Alhambra Road, Southsea</t>
  </si>
  <si>
    <t>Rent for period 12/07/2022 - 11/08/2022 from Mr Peter Taperek - Flat 6, 16-18 Alhambra Road, Southsea</t>
  </si>
  <si>
    <t>Rent for period 08/04/2022 - 07/05/2022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</si>
  <si>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</si>
  <si>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</si>
  <si>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6, 8 Alhambra Road, Southsea</t>
  </si>
  <si>
    <t>Rent for period 08/05/2022 - 07/06/2022 from Mr Antony Raymond Hinks - Flat 6, 8 Alhambra Road, Southsea</t>
  </si>
  <si>
    <t>Rent for period 08/06/2022 - 07/07/2022 from Mr Antony Raymond Hinks - Flat 6, 8 Alhambra Road, Southsea</t>
  </si>
  <si>
    <t>Rent for period 08/07/2022 - 07/08/2022 from Mr Antony Raymond Hinks - Flat 6, 8 Alhambra Road, Southsea</t>
  </si>
  <si>
    <t>Rent for period 14/03/2022 - 13/04/2022 from Mr Aleksandra Radzevics - Flat 7, 12-14 Alhambra Road, Southsea</t>
  </si>
  <si>
    <t>Management Fee at 7% - Flat 7, 12-14 Alhambra Road, Southsea</t>
  </si>
  <si>
    <t>Amount payable to Mr Mathew Tucker - Flat 7, 12-14 Alhambra Road, Southsea</t>
  </si>
  <si>
    <t>Rent for period 14/04/2022 - 13/05/2022 from Mr Aleksandra Radzevics - Flat 7, 12-14 Alhambra Road, Southsea</t>
  </si>
  <si>
    <t>Legislation &amp; Compliance  - Flat 7, 12-14 Alhambra Road, Southsea</t>
  </si>
  <si>
    <t>Rent for period 14/05/2022 - 13/06/2022 from Mr Aleksandra Radzevics - Flat 7, 12-14 Alhambra Road, Southsea</t>
  </si>
  <si>
    <t>Rent for period 14/06/2022 - 13/07/2022 from Mr Aleksandra Radzevics - Flat 7, 12-14 Alhambra Road, Southsea</t>
  </si>
  <si>
    <t>Rent for period 14/07/2022 - 13/08/2022 from Mr Aleksandra Radzevics - Flat 7, 12-14 Alhambra Road, Southsea</t>
  </si>
  <si>
    <t>Legislation &amp; Compliance  - Flat 7, 16-18 Alhambra Road, Southsea</t>
  </si>
  <si>
    <t>Legislation &amp; Compliance  - Flat 7, 8 Alhambra Road, Southsea</t>
  </si>
  <si>
    <t>Rent for period 30/04/2022 - 29/05/2022 from Mr Andrew Austin - Flat 7, 8 Alhambra Road, Southsea</t>
  </si>
  <si>
    <t>Management Fee at 7% - Flat 7, 8 Alhambra Road, Southsea</t>
  </si>
  <si>
    <t>Amount payable to Ms Ivana Valentino - Flat 7, 8 Alhambra Road, Southsea</t>
  </si>
  <si>
    <t>Rent for period 30/05/2022 - 29/06/2022 from Mr Andrew Austin - Flat 7, 8 Alhambra Road, Southsea</t>
  </si>
  <si>
    <t>Rent for period 30/06/2022 - 29/07/2022 from Mr Andrew Austin - Flat 7, 8 Alhambra Road, Southsea</t>
  </si>
  <si>
    <t>Legislation &amp; Compliance  - Flat 8, 8 Alhambra Road, Southsea</t>
  </si>
  <si>
    <t>Rent for period 11/04/2022 - 10/05/2022 from Mr Martin Gliszczynski (SIE-SOF T/A Pol Help) - Shop, 196 Kingston Road, Portsmouth</t>
  </si>
  <si>
    <t>Management Fee at 7% - Shop, 196 Kingston Road, Portsmouth</t>
  </si>
  <si>
    <t>Amount payable to Mr Mathew Tucker - Shop, 196 Kingston Road, Portsmouth</t>
  </si>
  <si>
    <t>Legislation &amp; Compliance  - Shop, 196 Kingston Road, Portsmouth</t>
  </si>
  <si>
    <t>Rent for period 11/05/2022 - 10/06/2022 from Mr Martin Gliszczynski (SIE-SOF T/A Pol Help) - Shop, 196 Kingston Road, Portsmouth</t>
  </si>
  <si>
    <t>Rent for period 11/06/2022 - 10/07/2022 from Mr Martin Gliszczynski (SIE-SOF T/A Pol Help) - Shop, 196 Kingston Road, Portsmouth</t>
  </si>
  <si>
    <t>Rent for period 11/07/2022 - 10/08/2022 from Mr Martin Gliszczynski (SIE-SOF T/A Pol Help) - Shop, 196 Kingston Road, Portsmouth</t>
  </si>
  <si>
    <t>Invoice</t>
  </si>
  <si>
    <t>Statement</t>
  </si>
  <si>
    <t>EX</t>
  </si>
  <si>
    <t>RT</t>
  </si>
  <si>
    <t>MF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</si>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</sst>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9"/>
  <sheetViews>
    <sheetView tabSelected="1" topLeftCell="A2" zoomScale="85" zoomScaleNormal="85" workbookViewId="0">
      <selection activeCell="M2" sqref="M2:M14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5.7109375" bestFit="1" customWidth="1"/>
    <col min="4" max="4" width="18.28515625" bestFit="1" customWidth="1"/>
    <col min="5" max="5" width="94.85546875" customWidth="1"/>
    <col min="6" max="6" width="15" bestFit="1" customWidth="1"/>
    <col min="7" max="7" width="18.140625" bestFit="1" customWidth="1"/>
    <col min="8" max="8" width="13.5703125" bestFit="1" customWidth="1"/>
    <col min="9" max="9" width="14.140625" bestFit="1" customWidth="1"/>
    <col min="13" max="13" width="10.28515625" customWidth="1"/>
    <col min="14" max="14" width="15.140625" bestFit="1" customWidth="1"/>
    <col min="15" max="15" width="22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</row>
    <row r="2" spans="1:15" x14ac:dyDescent="0.25">
      <c r="A2" s="2">
        <v>44679</v>
      </c>
      <c r="B2" t="s">
        <v>14</v>
      </c>
      <c r="C2">
        <v>884442</v>
      </c>
      <c r="D2" s="2">
        <v>44679.022222222222</v>
      </c>
      <c r="E2" t="s">
        <v>42</v>
      </c>
      <c r="F2" t="s">
        <v>183</v>
      </c>
      <c r="G2">
        <v>348920</v>
      </c>
      <c r="H2">
        <v>6</v>
      </c>
      <c r="I2">
        <v>0</v>
      </c>
      <c r="J2" t="s">
        <v>185</v>
      </c>
      <c r="K2">
        <v>6</v>
      </c>
      <c r="L2">
        <v>6</v>
      </c>
      <c r="N2">
        <v>1</v>
      </c>
      <c r="O2">
        <v>6045</v>
      </c>
    </row>
    <row r="3" spans="1:15" x14ac:dyDescent="0.25">
      <c r="A3" s="2">
        <v>44685</v>
      </c>
      <c r="B3" t="s">
        <v>14</v>
      </c>
      <c r="C3">
        <v>885652</v>
      </c>
      <c r="D3" s="2">
        <v>44685.564583333333</v>
      </c>
      <c r="E3" t="s">
        <v>43</v>
      </c>
      <c r="G3">
        <v>0</v>
      </c>
      <c r="H3">
        <v>0</v>
      </c>
      <c r="I3">
        <v>520</v>
      </c>
      <c r="J3" t="s">
        <v>186</v>
      </c>
      <c r="K3">
        <v>-520</v>
      </c>
      <c r="L3">
        <v>-514</v>
      </c>
      <c r="N3">
        <v>1</v>
      </c>
      <c r="O3">
        <v>6045</v>
      </c>
    </row>
    <row r="4" spans="1:15" x14ac:dyDescent="0.25">
      <c r="A4" s="2">
        <v>44685</v>
      </c>
      <c r="B4" t="s">
        <v>14</v>
      </c>
      <c r="C4">
        <v>885652</v>
      </c>
      <c r="D4" s="2">
        <v>44685.564583333333</v>
      </c>
      <c r="E4" t="s">
        <v>44</v>
      </c>
      <c r="F4" t="s">
        <v>183</v>
      </c>
      <c r="G4">
        <v>349629</v>
      </c>
      <c r="H4">
        <v>43.68</v>
      </c>
      <c r="I4">
        <v>0</v>
      </c>
      <c r="J4" t="s">
        <v>187</v>
      </c>
      <c r="K4">
        <v>43.68</v>
      </c>
      <c r="L4">
        <v>-470.32</v>
      </c>
      <c r="N4">
        <v>1</v>
      </c>
      <c r="O4">
        <v>6045</v>
      </c>
    </row>
    <row r="5" spans="1:15" x14ac:dyDescent="0.25">
      <c r="A5" s="2">
        <v>44685</v>
      </c>
      <c r="B5" t="s">
        <v>14</v>
      </c>
      <c r="C5">
        <v>886021</v>
      </c>
      <c r="D5" s="2">
        <v>44685.611111111109</v>
      </c>
      <c r="E5" t="s">
        <v>45</v>
      </c>
      <c r="F5" t="s">
        <v>184</v>
      </c>
      <c r="G5">
        <v>263431</v>
      </c>
      <c r="H5">
        <v>470.32</v>
      </c>
      <c r="I5">
        <v>0</v>
      </c>
      <c r="J5" t="s">
        <v>188</v>
      </c>
      <c r="K5">
        <v>470.32</v>
      </c>
      <c r="L5">
        <v>0</v>
      </c>
      <c r="N5">
        <v>1</v>
      </c>
      <c r="O5">
        <v>6045</v>
      </c>
    </row>
    <row r="6" spans="1:15" x14ac:dyDescent="0.25">
      <c r="A6" s="2">
        <v>44709</v>
      </c>
      <c r="B6" t="s">
        <v>14</v>
      </c>
      <c r="C6">
        <v>890834</v>
      </c>
      <c r="D6" s="2">
        <v>44709.022222222222</v>
      </c>
      <c r="E6" t="s">
        <v>42</v>
      </c>
      <c r="F6" t="s">
        <v>183</v>
      </c>
      <c r="G6">
        <v>352950</v>
      </c>
      <c r="H6">
        <v>6</v>
      </c>
      <c r="I6">
        <v>0</v>
      </c>
      <c r="J6" t="s">
        <v>185</v>
      </c>
      <c r="K6">
        <v>6</v>
      </c>
      <c r="L6">
        <v>6</v>
      </c>
      <c r="N6">
        <v>1</v>
      </c>
      <c r="O6">
        <v>6045</v>
      </c>
    </row>
    <row r="7" spans="1:15" x14ac:dyDescent="0.25">
      <c r="A7" s="2">
        <v>44718</v>
      </c>
      <c r="B7" t="s">
        <v>14</v>
      </c>
      <c r="C7">
        <v>892098</v>
      </c>
      <c r="D7" s="2">
        <v>44718.486111111109</v>
      </c>
      <c r="E7" t="s">
        <v>46</v>
      </c>
      <c r="G7">
        <v>0</v>
      </c>
      <c r="H7">
        <v>0</v>
      </c>
      <c r="I7">
        <v>520</v>
      </c>
      <c r="J7" t="s">
        <v>186</v>
      </c>
      <c r="K7">
        <v>-520</v>
      </c>
      <c r="L7">
        <v>-514</v>
      </c>
      <c r="N7">
        <v>1</v>
      </c>
      <c r="O7">
        <v>6045</v>
      </c>
    </row>
    <row r="8" spans="1:15" x14ac:dyDescent="0.25">
      <c r="A8" s="2">
        <v>44718</v>
      </c>
      <c r="B8" t="s">
        <v>14</v>
      </c>
      <c r="C8">
        <v>892098</v>
      </c>
      <c r="D8" s="2">
        <v>44718.486111111109</v>
      </c>
      <c r="E8" t="s">
        <v>44</v>
      </c>
      <c r="F8" t="s">
        <v>183</v>
      </c>
      <c r="G8">
        <v>353754</v>
      </c>
      <c r="H8">
        <v>43.68</v>
      </c>
      <c r="I8">
        <v>0</v>
      </c>
      <c r="J8" t="s">
        <v>187</v>
      </c>
      <c r="K8">
        <v>43.68</v>
      </c>
      <c r="L8">
        <v>-470.32</v>
      </c>
      <c r="N8">
        <v>1</v>
      </c>
      <c r="O8">
        <v>6045</v>
      </c>
    </row>
    <row r="9" spans="1:15" x14ac:dyDescent="0.25">
      <c r="A9" s="2">
        <v>44718</v>
      </c>
      <c r="B9" t="s">
        <v>14</v>
      </c>
      <c r="C9">
        <v>892319</v>
      </c>
      <c r="D9" s="2">
        <v>44718.533333333333</v>
      </c>
      <c r="E9" t="s">
        <v>45</v>
      </c>
      <c r="F9" t="s">
        <v>184</v>
      </c>
      <c r="G9">
        <v>266353</v>
      </c>
      <c r="H9">
        <v>470.32</v>
      </c>
      <c r="I9">
        <v>0</v>
      </c>
      <c r="J9" t="s">
        <v>188</v>
      </c>
      <c r="K9">
        <v>470.32</v>
      </c>
      <c r="L9">
        <v>0</v>
      </c>
      <c r="N9">
        <v>1</v>
      </c>
      <c r="O9">
        <v>6045</v>
      </c>
    </row>
    <row r="10" spans="1:15" x14ac:dyDescent="0.25">
      <c r="A10" s="2">
        <v>44740</v>
      </c>
      <c r="B10" t="s">
        <v>14</v>
      </c>
      <c r="C10">
        <v>896912</v>
      </c>
      <c r="D10" s="2">
        <v>44740.022222222222</v>
      </c>
      <c r="E10" t="s">
        <v>42</v>
      </c>
      <c r="F10" t="s">
        <v>183</v>
      </c>
      <c r="G10">
        <v>356736</v>
      </c>
      <c r="H10">
        <v>6</v>
      </c>
      <c r="I10">
        <v>0</v>
      </c>
      <c r="J10" t="s">
        <v>185</v>
      </c>
      <c r="K10">
        <v>6</v>
      </c>
      <c r="L10">
        <v>6</v>
      </c>
      <c r="N10">
        <v>1</v>
      </c>
      <c r="O10">
        <v>6045</v>
      </c>
    </row>
    <row r="11" spans="1:15" x14ac:dyDescent="0.25">
      <c r="A11" s="2">
        <v>44747</v>
      </c>
      <c r="B11" t="s">
        <v>14</v>
      </c>
      <c r="C11">
        <v>898559</v>
      </c>
      <c r="D11" s="2">
        <v>44747.618055555547</v>
      </c>
      <c r="E11" t="s">
        <v>47</v>
      </c>
      <c r="G11">
        <v>0</v>
      </c>
      <c r="H11">
        <v>0</v>
      </c>
      <c r="I11">
        <v>520</v>
      </c>
      <c r="J11" t="s">
        <v>186</v>
      </c>
      <c r="K11">
        <v>-520</v>
      </c>
      <c r="L11">
        <v>-514</v>
      </c>
      <c r="N11">
        <v>1</v>
      </c>
      <c r="O11">
        <v>6045</v>
      </c>
    </row>
    <row r="12" spans="1:15" x14ac:dyDescent="0.25">
      <c r="A12" s="2">
        <v>44747</v>
      </c>
      <c r="B12" t="s">
        <v>14</v>
      </c>
      <c r="C12">
        <v>898559</v>
      </c>
      <c r="D12" s="2">
        <v>44747.618055555547</v>
      </c>
      <c r="E12" t="s">
        <v>44</v>
      </c>
      <c r="F12" t="s">
        <v>183</v>
      </c>
      <c r="G12">
        <v>357652</v>
      </c>
      <c r="H12">
        <v>43.68</v>
      </c>
      <c r="I12">
        <v>0</v>
      </c>
      <c r="J12" t="s">
        <v>187</v>
      </c>
      <c r="K12">
        <v>43.68</v>
      </c>
      <c r="L12">
        <v>-470.32</v>
      </c>
      <c r="N12">
        <v>1</v>
      </c>
      <c r="O12">
        <v>6045</v>
      </c>
    </row>
    <row r="13" spans="1:15" x14ac:dyDescent="0.25">
      <c r="A13" s="2">
        <v>44747</v>
      </c>
      <c r="B13" t="s">
        <v>14</v>
      </c>
      <c r="C13">
        <v>898836</v>
      </c>
      <c r="D13" s="2">
        <v>44747.663888888892</v>
      </c>
      <c r="E13" t="s">
        <v>45</v>
      </c>
      <c r="F13" t="s">
        <v>184</v>
      </c>
      <c r="G13">
        <v>269200</v>
      </c>
      <c r="H13">
        <v>470.32</v>
      </c>
      <c r="I13">
        <v>0</v>
      </c>
      <c r="J13" t="s">
        <v>188</v>
      </c>
      <c r="K13">
        <v>470.32</v>
      </c>
      <c r="L13">
        <v>0</v>
      </c>
      <c r="N13">
        <v>1</v>
      </c>
      <c r="O13">
        <v>6045</v>
      </c>
    </row>
    <row r="14" spans="1:15" x14ac:dyDescent="0.25">
      <c r="A14" s="2">
        <v>44770</v>
      </c>
      <c r="B14" t="s">
        <v>14</v>
      </c>
      <c r="C14">
        <v>903686</v>
      </c>
      <c r="D14" s="2">
        <v>44770.022222222222</v>
      </c>
      <c r="E14" t="s">
        <v>42</v>
      </c>
      <c r="F14" t="s">
        <v>183</v>
      </c>
      <c r="G14">
        <v>360779</v>
      </c>
      <c r="H14">
        <v>6</v>
      </c>
      <c r="I14">
        <v>0</v>
      </c>
      <c r="J14" t="s">
        <v>185</v>
      </c>
      <c r="K14">
        <v>6</v>
      </c>
      <c r="L14">
        <v>6</v>
      </c>
      <c r="N14">
        <v>0</v>
      </c>
      <c r="O14">
        <v>6045</v>
      </c>
    </row>
    <row r="15" spans="1:15" x14ac:dyDescent="0.25">
      <c r="A15" s="2">
        <v>44658</v>
      </c>
      <c r="B15" t="s">
        <v>15</v>
      </c>
      <c r="C15">
        <v>880051</v>
      </c>
      <c r="D15" s="2">
        <v>44658.509027777778</v>
      </c>
      <c r="E15" t="s">
        <v>48</v>
      </c>
      <c r="G15">
        <v>0</v>
      </c>
      <c r="H15">
        <v>0</v>
      </c>
      <c r="I15">
        <v>231.12</v>
      </c>
      <c r="J15" t="s">
        <v>186</v>
      </c>
      <c r="K15">
        <v>-231.12</v>
      </c>
      <c r="L15">
        <v>-231.12</v>
      </c>
      <c r="M15" s="5">
        <f>+I15-H15</f>
        <v>231.12</v>
      </c>
      <c r="N15">
        <v>1</v>
      </c>
      <c r="O15">
        <v>6045</v>
      </c>
    </row>
    <row r="16" spans="1:15" x14ac:dyDescent="0.25">
      <c r="A16" s="2">
        <v>44658</v>
      </c>
      <c r="B16" t="s">
        <v>15</v>
      </c>
      <c r="C16">
        <v>880051</v>
      </c>
      <c r="D16" s="2">
        <v>44658.509027777778</v>
      </c>
      <c r="E16" t="s">
        <v>49</v>
      </c>
      <c r="F16" t="s">
        <v>183</v>
      </c>
      <c r="G16">
        <v>346262</v>
      </c>
      <c r="H16">
        <v>19.420000000000002</v>
      </c>
      <c r="I16">
        <v>0</v>
      </c>
      <c r="J16" t="s">
        <v>187</v>
      </c>
      <c r="K16">
        <v>19.420000000000002</v>
      </c>
      <c r="L16">
        <v>-211.7</v>
      </c>
      <c r="M16" s="5">
        <f>+I16-H16+M15</f>
        <v>211.7</v>
      </c>
      <c r="N16">
        <v>1</v>
      </c>
      <c r="O16">
        <v>6045</v>
      </c>
    </row>
    <row r="17" spans="1:15" x14ac:dyDescent="0.25">
      <c r="A17" s="2">
        <v>44658</v>
      </c>
      <c r="B17" t="s">
        <v>15</v>
      </c>
      <c r="C17">
        <v>880097</v>
      </c>
      <c r="D17" s="2">
        <v>44658.547222222223</v>
      </c>
      <c r="E17" t="s">
        <v>50</v>
      </c>
      <c r="F17" t="s">
        <v>184</v>
      </c>
      <c r="G17">
        <v>261177</v>
      </c>
      <c r="H17">
        <v>205.7</v>
      </c>
      <c r="I17">
        <v>0</v>
      </c>
      <c r="J17" t="s">
        <v>188</v>
      </c>
      <c r="K17">
        <v>205.7</v>
      </c>
      <c r="L17">
        <v>-6</v>
      </c>
      <c r="M17" s="5">
        <f t="shared" ref="M17:M52" si="0">+I17-H17+M16</f>
        <v>6</v>
      </c>
      <c r="N17">
        <v>1</v>
      </c>
      <c r="O17">
        <v>6045</v>
      </c>
    </row>
    <row r="18" spans="1:15" x14ac:dyDescent="0.25">
      <c r="A18" s="2">
        <v>44671</v>
      </c>
      <c r="B18" t="s">
        <v>15</v>
      </c>
      <c r="C18">
        <v>882352</v>
      </c>
      <c r="D18" s="2">
        <v>44671.53402777778</v>
      </c>
      <c r="E18" t="s">
        <v>51</v>
      </c>
      <c r="G18">
        <v>0</v>
      </c>
      <c r="H18">
        <v>0</v>
      </c>
      <c r="I18">
        <v>230.4</v>
      </c>
      <c r="J18" t="s">
        <v>186</v>
      </c>
      <c r="K18">
        <v>-230.4</v>
      </c>
      <c r="L18">
        <v>-230.4</v>
      </c>
      <c r="M18" s="5">
        <f t="shared" si="0"/>
        <v>236.4</v>
      </c>
      <c r="N18">
        <v>1</v>
      </c>
      <c r="O18">
        <v>6045</v>
      </c>
    </row>
    <row r="19" spans="1:15" x14ac:dyDescent="0.25">
      <c r="A19" s="2">
        <v>44671</v>
      </c>
      <c r="B19" t="s">
        <v>15</v>
      </c>
      <c r="C19">
        <v>882352</v>
      </c>
      <c r="D19" s="2">
        <v>44671.53402777778</v>
      </c>
      <c r="E19" t="s">
        <v>49</v>
      </c>
      <c r="F19" t="s">
        <v>183</v>
      </c>
      <c r="G19">
        <v>347615</v>
      </c>
      <c r="H19">
        <v>19.36</v>
      </c>
      <c r="I19">
        <v>0</v>
      </c>
      <c r="J19" t="s">
        <v>187</v>
      </c>
      <c r="K19">
        <v>19.36</v>
      </c>
      <c r="L19">
        <v>-211.04</v>
      </c>
      <c r="M19" s="5">
        <f t="shared" si="0"/>
        <v>217.04000000000002</v>
      </c>
      <c r="N19">
        <v>1</v>
      </c>
      <c r="O19">
        <v>6045</v>
      </c>
    </row>
    <row r="20" spans="1:15" x14ac:dyDescent="0.25">
      <c r="A20" s="2">
        <v>44671</v>
      </c>
      <c r="B20" t="s">
        <v>15</v>
      </c>
      <c r="C20">
        <v>882382</v>
      </c>
      <c r="D20" s="2">
        <v>44671.535416666673</v>
      </c>
      <c r="E20" t="s">
        <v>50</v>
      </c>
      <c r="F20" t="s">
        <v>184</v>
      </c>
      <c r="G20">
        <v>262276</v>
      </c>
      <c r="H20">
        <v>211.04</v>
      </c>
      <c r="I20">
        <v>0</v>
      </c>
      <c r="J20" t="s">
        <v>188</v>
      </c>
      <c r="K20">
        <v>211.04</v>
      </c>
      <c r="L20">
        <v>0</v>
      </c>
      <c r="M20" s="5">
        <f t="shared" si="0"/>
        <v>6.0000000000000284</v>
      </c>
      <c r="N20">
        <v>1</v>
      </c>
      <c r="O20">
        <v>6045</v>
      </c>
    </row>
    <row r="21" spans="1:15" x14ac:dyDescent="0.25">
      <c r="A21" s="2">
        <v>44679</v>
      </c>
      <c r="B21" t="s">
        <v>15</v>
      </c>
      <c r="C21">
        <v>884442</v>
      </c>
      <c r="D21" s="2">
        <v>44679.022222222222</v>
      </c>
      <c r="E21" t="s">
        <v>52</v>
      </c>
      <c r="F21" t="s">
        <v>183</v>
      </c>
      <c r="G21">
        <v>348838</v>
      </c>
      <c r="H21">
        <v>6</v>
      </c>
      <c r="I21">
        <v>0</v>
      </c>
      <c r="J21" t="s">
        <v>185</v>
      </c>
      <c r="K21">
        <v>6</v>
      </c>
      <c r="L21">
        <v>6</v>
      </c>
      <c r="M21" s="5">
        <f t="shared" si="0"/>
        <v>2.8421709430404007E-14</v>
      </c>
      <c r="N21">
        <v>1</v>
      </c>
      <c r="O21">
        <v>6045</v>
      </c>
    </row>
    <row r="22" spans="1:15" x14ac:dyDescent="0.25">
      <c r="A22" s="2">
        <v>44691</v>
      </c>
      <c r="B22" t="s">
        <v>15</v>
      </c>
      <c r="C22">
        <v>886924</v>
      </c>
      <c r="D22" s="2">
        <v>44691.475694444453</v>
      </c>
      <c r="E22" t="s">
        <v>51</v>
      </c>
      <c r="G22">
        <v>0</v>
      </c>
      <c r="H22">
        <v>0</v>
      </c>
      <c r="I22">
        <v>269.60000000000002</v>
      </c>
      <c r="J22" t="s">
        <v>186</v>
      </c>
      <c r="K22">
        <v>-269.60000000000002</v>
      </c>
      <c r="L22">
        <f>-C17</f>
        <v>-880097</v>
      </c>
      <c r="M22" s="5">
        <f t="shared" si="0"/>
        <v>269.60000000000002</v>
      </c>
      <c r="N22">
        <v>1</v>
      </c>
      <c r="O22">
        <v>6045</v>
      </c>
    </row>
    <row r="23" spans="1:15" x14ac:dyDescent="0.25">
      <c r="A23" s="2">
        <v>44691</v>
      </c>
      <c r="B23" t="s">
        <v>15</v>
      </c>
      <c r="C23">
        <v>886924</v>
      </c>
      <c r="D23" s="2">
        <v>44691.475694444453</v>
      </c>
      <c r="E23" t="s">
        <v>49</v>
      </c>
      <c r="F23" t="s">
        <v>183</v>
      </c>
      <c r="G23">
        <v>350573</v>
      </c>
      <c r="H23">
        <v>22.64</v>
      </c>
      <c r="I23">
        <v>0</v>
      </c>
      <c r="J23" t="s">
        <v>187</v>
      </c>
      <c r="K23">
        <v>22.64</v>
      </c>
      <c r="L23">
        <v>-240.96</v>
      </c>
      <c r="M23" s="5">
        <f t="shared" si="0"/>
        <v>246.96000000000004</v>
      </c>
      <c r="N23">
        <v>1</v>
      </c>
      <c r="O23">
        <v>6045</v>
      </c>
    </row>
    <row r="24" spans="1:15" x14ac:dyDescent="0.25">
      <c r="A24" s="2">
        <v>44691</v>
      </c>
      <c r="B24" t="s">
        <v>15</v>
      </c>
      <c r="C24">
        <v>886924</v>
      </c>
      <c r="D24" s="2">
        <v>44691.475694444453</v>
      </c>
      <c r="E24" t="s">
        <v>51</v>
      </c>
      <c r="G24">
        <v>0</v>
      </c>
      <c r="H24">
        <v>0</v>
      </c>
      <c r="I24">
        <v>269.60000000000002</v>
      </c>
      <c r="J24" t="s">
        <v>186</v>
      </c>
      <c r="K24">
        <v>-269.60000000000002</v>
      </c>
      <c r="L24">
        <v>-510.56</v>
      </c>
      <c r="M24" s="5">
        <f t="shared" si="0"/>
        <v>516.56000000000006</v>
      </c>
      <c r="N24">
        <v>1</v>
      </c>
      <c r="O24">
        <v>6045</v>
      </c>
    </row>
    <row r="25" spans="1:15" x14ac:dyDescent="0.25">
      <c r="A25" s="2">
        <v>44691</v>
      </c>
      <c r="B25" t="s">
        <v>15</v>
      </c>
      <c r="C25">
        <v>886924</v>
      </c>
      <c r="D25" s="2">
        <v>44691.475694444453</v>
      </c>
      <c r="E25" t="s">
        <v>49</v>
      </c>
      <c r="F25" t="s">
        <v>183</v>
      </c>
      <c r="G25">
        <v>350573</v>
      </c>
      <c r="H25">
        <v>22.64</v>
      </c>
      <c r="I25">
        <v>0</v>
      </c>
      <c r="J25" t="s">
        <v>187</v>
      </c>
      <c r="K25">
        <v>22.64</v>
      </c>
      <c r="L25">
        <v>-487.92</v>
      </c>
      <c r="M25" s="5">
        <f t="shared" si="0"/>
        <v>493.92000000000007</v>
      </c>
      <c r="N25">
        <v>1</v>
      </c>
      <c r="O25">
        <v>6045</v>
      </c>
    </row>
    <row r="26" spans="1:15" x14ac:dyDescent="0.25">
      <c r="A26" s="3">
        <v>44691</v>
      </c>
      <c r="B26" s="4" t="s">
        <v>15</v>
      </c>
      <c r="C26" s="4">
        <v>886961</v>
      </c>
      <c r="D26" s="3">
        <v>44691.477777777778</v>
      </c>
      <c r="E26" s="4" t="s">
        <v>50</v>
      </c>
      <c r="F26" s="4" t="s">
        <v>184</v>
      </c>
      <c r="G26" s="4">
        <v>264087</v>
      </c>
      <c r="H26" s="4">
        <v>240.96</v>
      </c>
      <c r="I26" s="4">
        <v>0</v>
      </c>
      <c r="J26" s="4" t="s">
        <v>188</v>
      </c>
      <c r="K26" s="4">
        <v>240.96</v>
      </c>
      <c r="L26" s="4">
        <v>-246.96</v>
      </c>
      <c r="M26" s="5">
        <f t="shared" si="0"/>
        <v>252.96000000000006</v>
      </c>
      <c r="N26" s="4">
        <v>1</v>
      </c>
      <c r="O26" s="4">
        <v>6045</v>
      </c>
    </row>
    <row r="27" spans="1:15" x14ac:dyDescent="0.25">
      <c r="A27" s="3">
        <v>44691</v>
      </c>
      <c r="B27" s="4" t="s">
        <v>15</v>
      </c>
      <c r="C27" s="4">
        <v>886961</v>
      </c>
      <c r="D27" s="3">
        <v>44691.477777777778</v>
      </c>
      <c r="E27" s="4" t="s">
        <v>50</v>
      </c>
      <c r="F27" s="4" t="s">
        <v>184</v>
      </c>
      <c r="G27" s="4">
        <v>264087</v>
      </c>
      <c r="H27" s="4">
        <v>240.96</v>
      </c>
      <c r="I27" s="4">
        <v>0</v>
      </c>
      <c r="J27" s="4" t="s">
        <v>188</v>
      </c>
      <c r="K27" s="4">
        <v>240.96</v>
      </c>
      <c r="L27" s="4">
        <v>240.96</v>
      </c>
      <c r="M27" s="5">
        <f t="shared" si="0"/>
        <v>12.000000000000057</v>
      </c>
      <c r="N27" s="4">
        <v>1</v>
      </c>
      <c r="O27" s="4">
        <v>6045</v>
      </c>
    </row>
    <row r="28" spans="1:15" x14ac:dyDescent="0.25">
      <c r="A28" s="2">
        <v>44701</v>
      </c>
      <c r="B28" t="s">
        <v>15</v>
      </c>
      <c r="C28">
        <v>889419</v>
      </c>
      <c r="D28" s="2">
        <v>44701.439583333333</v>
      </c>
      <c r="E28" t="s">
        <v>53</v>
      </c>
      <c r="G28">
        <v>0</v>
      </c>
      <c r="H28">
        <v>0</v>
      </c>
      <c r="I28">
        <v>191.92</v>
      </c>
      <c r="J28" t="s">
        <v>186</v>
      </c>
      <c r="K28">
        <v>-191.92</v>
      </c>
      <c r="L28">
        <v>-191.92</v>
      </c>
      <c r="M28" s="5">
        <f t="shared" si="0"/>
        <v>203.92000000000004</v>
      </c>
      <c r="N28">
        <v>1</v>
      </c>
      <c r="O28">
        <v>6045</v>
      </c>
    </row>
    <row r="29" spans="1:15" x14ac:dyDescent="0.25">
      <c r="A29" s="2">
        <v>44701</v>
      </c>
      <c r="B29" t="s">
        <v>15</v>
      </c>
      <c r="C29">
        <v>889419</v>
      </c>
      <c r="D29" s="2">
        <v>44701.439583333333</v>
      </c>
      <c r="E29" t="s">
        <v>49</v>
      </c>
      <c r="F29" t="s">
        <v>183</v>
      </c>
      <c r="G29">
        <v>351710</v>
      </c>
      <c r="H29">
        <v>16.12</v>
      </c>
      <c r="I29">
        <v>0</v>
      </c>
      <c r="J29" t="s">
        <v>187</v>
      </c>
      <c r="K29">
        <v>16.12</v>
      </c>
      <c r="L29">
        <v>-175.8</v>
      </c>
      <c r="M29" s="5">
        <f t="shared" si="0"/>
        <v>187.80000000000004</v>
      </c>
      <c r="N29">
        <v>1</v>
      </c>
      <c r="O29">
        <v>6045</v>
      </c>
    </row>
    <row r="30" spans="1:15" x14ac:dyDescent="0.25">
      <c r="A30" s="2">
        <v>44701</v>
      </c>
      <c r="B30" t="s">
        <v>15</v>
      </c>
      <c r="C30">
        <v>889419</v>
      </c>
      <c r="D30" s="2">
        <v>44701.439583333333</v>
      </c>
      <c r="E30" t="s">
        <v>53</v>
      </c>
      <c r="G30">
        <v>0</v>
      </c>
      <c r="H30">
        <v>0</v>
      </c>
      <c r="I30">
        <v>191.92</v>
      </c>
      <c r="J30" t="s">
        <v>186</v>
      </c>
      <c r="K30">
        <v>-191.92</v>
      </c>
      <c r="L30">
        <v>-367.72</v>
      </c>
      <c r="M30" s="5">
        <f t="shared" si="0"/>
        <v>379.72</v>
      </c>
      <c r="N30">
        <v>1</v>
      </c>
      <c r="O30">
        <v>6045</v>
      </c>
    </row>
    <row r="31" spans="1:15" x14ac:dyDescent="0.25">
      <c r="A31" s="2">
        <v>44701</v>
      </c>
      <c r="B31" t="s">
        <v>15</v>
      </c>
      <c r="C31">
        <v>889419</v>
      </c>
      <c r="D31" s="2">
        <v>44701.439583333333</v>
      </c>
      <c r="E31" t="s">
        <v>49</v>
      </c>
      <c r="F31" t="s">
        <v>183</v>
      </c>
      <c r="G31">
        <v>351710</v>
      </c>
      <c r="H31">
        <v>16.12</v>
      </c>
      <c r="I31">
        <v>0</v>
      </c>
      <c r="J31" t="s">
        <v>187</v>
      </c>
      <c r="K31">
        <v>16.12</v>
      </c>
      <c r="L31">
        <v>-351.6</v>
      </c>
      <c r="M31" s="5">
        <f t="shared" si="0"/>
        <v>363.6</v>
      </c>
      <c r="N31">
        <v>1</v>
      </c>
      <c r="O31">
        <v>6045</v>
      </c>
    </row>
    <row r="32" spans="1:15" x14ac:dyDescent="0.25">
      <c r="A32" s="3">
        <v>44701</v>
      </c>
      <c r="B32" s="4" t="s">
        <v>15</v>
      </c>
      <c r="C32" s="4">
        <v>889424</v>
      </c>
      <c r="D32" s="3">
        <v>44701.440972222219</v>
      </c>
      <c r="E32" s="4" t="s">
        <v>50</v>
      </c>
      <c r="F32" s="4" t="s">
        <v>184</v>
      </c>
      <c r="G32" s="4">
        <v>265270</v>
      </c>
      <c r="H32" s="4">
        <v>175.8</v>
      </c>
      <c r="I32" s="4">
        <v>0</v>
      </c>
      <c r="J32" s="4" t="s">
        <v>188</v>
      </c>
      <c r="K32" s="4">
        <v>175.8</v>
      </c>
      <c r="L32" s="4">
        <v>-175.8</v>
      </c>
      <c r="M32" s="5">
        <f t="shared" si="0"/>
        <v>187.8</v>
      </c>
      <c r="N32" s="4">
        <v>1</v>
      </c>
      <c r="O32" s="4">
        <v>6045</v>
      </c>
    </row>
    <row r="33" spans="1:15" x14ac:dyDescent="0.25">
      <c r="A33" s="3">
        <v>44701</v>
      </c>
      <c r="B33" s="4" t="s">
        <v>15</v>
      </c>
      <c r="C33" s="4">
        <v>889424</v>
      </c>
      <c r="D33" s="3">
        <v>44701.440972222219</v>
      </c>
      <c r="E33" s="4" t="s">
        <v>50</v>
      </c>
      <c r="F33" s="4" t="s">
        <v>184</v>
      </c>
      <c r="G33" s="4">
        <v>265270</v>
      </c>
      <c r="H33" s="4">
        <v>175.8</v>
      </c>
      <c r="I33" s="4">
        <v>0</v>
      </c>
      <c r="J33" s="4" t="s">
        <v>188</v>
      </c>
      <c r="K33" s="4">
        <v>175.8</v>
      </c>
      <c r="L33" s="4">
        <v>175.8</v>
      </c>
      <c r="M33" s="5">
        <f t="shared" si="0"/>
        <v>12</v>
      </c>
      <c r="N33" s="4">
        <v>1</v>
      </c>
      <c r="O33" s="4">
        <v>6045</v>
      </c>
    </row>
    <row r="34" spans="1:15" x14ac:dyDescent="0.25">
      <c r="A34" s="2">
        <v>44709</v>
      </c>
      <c r="B34" t="s">
        <v>15</v>
      </c>
      <c r="C34">
        <v>890834</v>
      </c>
      <c r="D34" s="2">
        <v>44709.022222222222</v>
      </c>
      <c r="E34" t="s">
        <v>52</v>
      </c>
      <c r="F34" t="s">
        <v>183</v>
      </c>
      <c r="G34">
        <v>352868</v>
      </c>
      <c r="H34">
        <v>6</v>
      </c>
      <c r="I34">
        <v>0</v>
      </c>
      <c r="J34" t="s">
        <v>185</v>
      </c>
      <c r="K34">
        <v>6</v>
      </c>
      <c r="L34">
        <v>6</v>
      </c>
      <c r="M34" s="5">
        <f t="shared" si="0"/>
        <v>6</v>
      </c>
      <c r="N34">
        <v>1</v>
      </c>
      <c r="O34">
        <v>6045</v>
      </c>
    </row>
    <row r="35" spans="1:15" x14ac:dyDescent="0.25">
      <c r="A35" s="2">
        <v>44709</v>
      </c>
      <c r="B35" t="s">
        <v>15</v>
      </c>
      <c r="C35">
        <v>890834</v>
      </c>
      <c r="D35" s="2">
        <v>44709.022222222222</v>
      </c>
      <c r="E35" t="s">
        <v>52</v>
      </c>
      <c r="F35" t="s">
        <v>183</v>
      </c>
      <c r="G35">
        <v>352868</v>
      </c>
      <c r="H35">
        <v>6</v>
      </c>
      <c r="I35">
        <v>0</v>
      </c>
      <c r="J35" t="s">
        <v>185</v>
      </c>
      <c r="K35">
        <v>6</v>
      </c>
      <c r="L35">
        <v>12</v>
      </c>
      <c r="M35" s="5">
        <f t="shared" si="0"/>
        <v>0</v>
      </c>
      <c r="N35">
        <v>1</v>
      </c>
      <c r="O35">
        <v>6045</v>
      </c>
    </row>
    <row r="36" spans="1:15" x14ac:dyDescent="0.25">
      <c r="A36" s="2">
        <v>44713</v>
      </c>
      <c r="B36" t="s">
        <v>15</v>
      </c>
      <c r="C36">
        <v>891707</v>
      </c>
      <c r="D36" s="2">
        <v>44713.456944444442</v>
      </c>
      <c r="E36" t="s">
        <v>53</v>
      </c>
      <c r="G36">
        <v>0</v>
      </c>
      <c r="H36">
        <v>0</v>
      </c>
      <c r="I36">
        <v>308.08</v>
      </c>
      <c r="J36" t="s">
        <v>186</v>
      </c>
      <c r="K36">
        <v>-308.08</v>
      </c>
      <c r="L36">
        <v>-296.08</v>
      </c>
      <c r="M36" s="5">
        <f t="shared" si="0"/>
        <v>308.08</v>
      </c>
      <c r="N36">
        <v>1</v>
      </c>
      <c r="O36">
        <v>6045</v>
      </c>
    </row>
    <row r="37" spans="1:15" x14ac:dyDescent="0.25">
      <c r="A37" s="2">
        <v>44713</v>
      </c>
      <c r="B37" t="s">
        <v>15</v>
      </c>
      <c r="C37">
        <v>891707</v>
      </c>
      <c r="D37" s="2">
        <v>44713.456944444442</v>
      </c>
      <c r="E37" t="s">
        <v>49</v>
      </c>
      <c r="F37" t="s">
        <v>183</v>
      </c>
      <c r="G37">
        <v>353517</v>
      </c>
      <c r="H37">
        <v>25.88</v>
      </c>
      <c r="I37">
        <v>0</v>
      </c>
      <c r="J37" t="s">
        <v>187</v>
      </c>
      <c r="K37">
        <v>25.88</v>
      </c>
      <c r="L37">
        <v>-270.2</v>
      </c>
      <c r="M37" s="5">
        <f t="shared" si="0"/>
        <v>282.2</v>
      </c>
      <c r="N37">
        <v>1</v>
      </c>
      <c r="O37">
        <v>6045</v>
      </c>
    </row>
    <row r="38" spans="1:15" x14ac:dyDescent="0.25">
      <c r="A38" s="2">
        <v>44713</v>
      </c>
      <c r="B38" t="s">
        <v>15</v>
      </c>
      <c r="C38">
        <v>891743</v>
      </c>
      <c r="D38" s="2">
        <v>44713.459027777782</v>
      </c>
      <c r="E38" t="s">
        <v>50</v>
      </c>
      <c r="F38" t="s">
        <v>184</v>
      </c>
      <c r="G38">
        <v>266242</v>
      </c>
      <c r="H38">
        <v>276.2</v>
      </c>
      <c r="I38">
        <v>0</v>
      </c>
      <c r="J38" t="s">
        <v>188</v>
      </c>
      <c r="K38">
        <v>276.2</v>
      </c>
      <c r="L38">
        <v>6</v>
      </c>
      <c r="M38" s="5">
        <f t="shared" si="0"/>
        <v>6</v>
      </c>
      <c r="N38">
        <v>1</v>
      </c>
      <c r="O38">
        <v>6045</v>
      </c>
    </row>
    <row r="39" spans="1:15" x14ac:dyDescent="0.25">
      <c r="A39" s="2">
        <v>44733</v>
      </c>
      <c r="B39" t="s">
        <v>15</v>
      </c>
      <c r="C39">
        <v>895542</v>
      </c>
      <c r="D39" s="2">
        <v>44733.429166666669</v>
      </c>
      <c r="E39" t="s">
        <v>54</v>
      </c>
      <c r="G39">
        <v>0</v>
      </c>
      <c r="H39">
        <v>0</v>
      </c>
      <c r="I39">
        <v>153.44</v>
      </c>
      <c r="J39" t="s">
        <v>186</v>
      </c>
      <c r="K39">
        <v>-153.44</v>
      </c>
      <c r="L39">
        <v>-153.44</v>
      </c>
      <c r="M39" s="5">
        <f t="shared" si="0"/>
        <v>159.44</v>
      </c>
      <c r="N39">
        <v>1</v>
      </c>
      <c r="O39">
        <v>6045</v>
      </c>
    </row>
    <row r="40" spans="1:15" x14ac:dyDescent="0.25">
      <c r="A40" s="2">
        <v>44733</v>
      </c>
      <c r="B40" t="s">
        <v>15</v>
      </c>
      <c r="C40">
        <v>895542</v>
      </c>
      <c r="D40" s="2">
        <v>44733.429166666669</v>
      </c>
      <c r="E40" t="s">
        <v>49</v>
      </c>
      <c r="F40" t="s">
        <v>183</v>
      </c>
      <c r="G40">
        <v>355620</v>
      </c>
      <c r="H40">
        <v>12.89</v>
      </c>
      <c r="I40">
        <v>0</v>
      </c>
      <c r="J40" t="s">
        <v>187</v>
      </c>
      <c r="K40">
        <v>12.89</v>
      </c>
      <c r="L40">
        <v>-140.55000000000001</v>
      </c>
      <c r="M40" s="5">
        <f t="shared" si="0"/>
        <v>146.55000000000001</v>
      </c>
      <c r="N40">
        <v>1</v>
      </c>
      <c r="O40">
        <v>6045</v>
      </c>
    </row>
    <row r="41" spans="1:15" x14ac:dyDescent="0.25">
      <c r="A41" s="2">
        <v>44733</v>
      </c>
      <c r="B41" t="s">
        <v>15</v>
      </c>
      <c r="C41">
        <v>895556</v>
      </c>
      <c r="D41" s="2">
        <v>44733.431944444441</v>
      </c>
      <c r="E41" t="s">
        <v>50</v>
      </c>
      <c r="F41" t="s">
        <v>184</v>
      </c>
      <c r="G41">
        <v>268077</v>
      </c>
      <c r="H41">
        <v>140.55000000000001</v>
      </c>
      <c r="I41">
        <v>0</v>
      </c>
      <c r="J41" t="s">
        <v>188</v>
      </c>
      <c r="K41">
        <v>140.55000000000001</v>
      </c>
      <c r="L41">
        <v>0</v>
      </c>
      <c r="M41" s="5">
        <f t="shared" si="0"/>
        <v>6</v>
      </c>
      <c r="N41">
        <v>1</v>
      </c>
      <c r="O41">
        <v>6045</v>
      </c>
    </row>
    <row r="42" spans="1:15" x14ac:dyDescent="0.25">
      <c r="A42" s="2">
        <v>44740</v>
      </c>
      <c r="B42" t="s">
        <v>15</v>
      </c>
      <c r="C42">
        <v>896912</v>
      </c>
      <c r="D42" s="2">
        <v>44740.022222222222</v>
      </c>
      <c r="E42" t="s">
        <v>52</v>
      </c>
      <c r="F42" t="s">
        <v>183</v>
      </c>
      <c r="G42">
        <v>356659</v>
      </c>
      <c r="H42">
        <v>6</v>
      </c>
      <c r="I42">
        <v>0</v>
      </c>
      <c r="J42" t="s">
        <v>185</v>
      </c>
      <c r="K42">
        <v>6</v>
      </c>
      <c r="L42">
        <v>6</v>
      </c>
      <c r="M42" s="5">
        <f t="shared" si="0"/>
        <v>0</v>
      </c>
      <c r="N42">
        <v>1</v>
      </c>
      <c r="O42">
        <v>6045</v>
      </c>
    </row>
    <row r="43" spans="1:15" x14ac:dyDescent="0.25">
      <c r="A43" s="2">
        <v>44740</v>
      </c>
      <c r="B43" t="s">
        <v>15</v>
      </c>
      <c r="C43">
        <v>897178</v>
      </c>
      <c r="D43" s="2">
        <v>44740.519444444442</v>
      </c>
      <c r="E43" t="s">
        <v>54</v>
      </c>
      <c r="G43">
        <v>0</v>
      </c>
      <c r="H43">
        <v>0</v>
      </c>
      <c r="I43">
        <v>346.56</v>
      </c>
      <c r="J43" t="s">
        <v>186</v>
      </c>
      <c r="K43">
        <v>-346.56</v>
      </c>
      <c r="L43">
        <v>-340.56</v>
      </c>
      <c r="M43" s="5">
        <f t="shared" si="0"/>
        <v>346.56</v>
      </c>
      <c r="N43">
        <v>1</v>
      </c>
      <c r="O43">
        <v>6045</v>
      </c>
    </row>
    <row r="44" spans="1:15" x14ac:dyDescent="0.25">
      <c r="A44" s="2">
        <v>44740</v>
      </c>
      <c r="B44" t="s">
        <v>15</v>
      </c>
      <c r="C44">
        <v>897178</v>
      </c>
      <c r="D44" s="2">
        <v>44740.519444444442</v>
      </c>
      <c r="E44" t="s">
        <v>49</v>
      </c>
      <c r="F44" t="s">
        <v>183</v>
      </c>
      <c r="G44">
        <v>357016</v>
      </c>
      <c r="H44">
        <v>29.11</v>
      </c>
      <c r="I44">
        <v>0</v>
      </c>
      <c r="J44" t="s">
        <v>187</v>
      </c>
      <c r="K44">
        <v>29.11</v>
      </c>
      <c r="L44">
        <v>-311.45</v>
      </c>
      <c r="M44" s="5">
        <f t="shared" si="0"/>
        <v>317.45</v>
      </c>
      <c r="N44">
        <v>1</v>
      </c>
      <c r="O44">
        <v>6045</v>
      </c>
    </row>
    <row r="45" spans="1:15" x14ac:dyDescent="0.25">
      <c r="A45" s="2">
        <v>44740</v>
      </c>
      <c r="B45" t="s">
        <v>15</v>
      </c>
      <c r="C45">
        <v>897206</v>
      </c>
      <c r="D45" s="2">
        <v>44740.520138888889</v>
      </c>
      <c r="E45" t="s">
        <v>50</v>
      </c>
      <c r="F45" t="s">
        <v>184</v>
      </c>
      <c r="G45">
        <v>268736</v>
      </c>
      <c r="H45">
        <v>311.45</v>
      </c>
      <c r="I45">
        <v>0</v>
      </c>
      <c r="J45" t="s">
        <v>188</v>
      </c>
      <c r="K45">
        <v>311.45</v>
      </c>
      <c r="L45">
        <v>0</v>
      </c>
      <c r="M45" s="5">
        <f t="shared" si="0"/>
        <v>6</v>
      </c>
      <c r="N45">
        <v>1</v>
      </c>
      <c r="O45">
        <v>6045</v>
      </c>
    </row>
    <row r="46" spans="1:15" x14ac:dyDescent="0.25">
      <c r="A46" s="2">
        <v>44762</v>
      </c>
      <c r="B46" t="s">
        <v>15</v>
      </c>
      <c r="C46">
        <v>902031</v>
      </c>
      <c r="D46" s="2">
        <v>44762.424305555563</v>
      </c>
      <c r="E46" t="s">
        <v>55</v>
      </c>
      <c r="G46">
        <v>0</v>
      </c>
      <c r="H46">
        <v>0</v>
      </c>
      <c r="I46">
        <v>114.96</v>
      </c>
      <c r="J46" t="s">
        <v>186</v>
      </c>
      <c r="K46">
        <v>-114.96</v>
      </c>
      <c r="L46">
        <v>-114.96</v>
      </c>
      <c r="M46" s="5">
        <f t="shared" si="0"/>
        <v>120.96</v>
      </c>
      <c r="N46">
        <v>1</v>
      </c>
      <c r="O46">
        <v>6045</v>
      </c>
    </row>
    <row r="47" spans="1:15" x14ac:dyDescent="0.25">
      <c r="A47" s="2">
        <v>44762</v>
      </c>
      <c r="B47" t="s">
        <v>15</v>
      </c>
      <c r="C47">
        <v>902031</v>
      </c>
      <c r="D47" s="2">
        <v>44762.424305555563</v>
      </c>
      <c r="E47" t="s">
        <v>49</v>
      </c>
      <c r="F47" t="s">
        <v>183</v>
      </c>
      <c r="G47">
        <v>359513</v>
      </c>
      <c r="H47">
        <v>9.66</v>
      </c>
      <c r="I47">
        <v>0</v>
      </c>
      <c r="J47" t="s">
        <v>187</v>
      </c>
      <c r="K47">
        <v>9.66</v>
      </c>
      <c r="L47">
        <v>-105.3</v>
      </c>
      <c r="M47" s="5">
        <f t="shared" si="0"/>
        <v>111.3</v>
      </c>
      <c r="N47">
        <v>1</v>
      </c>
      <c r="O47">
        <v>6045</v>
      </c>
    </row>
    <row r="48" spans="1:15" x14ac:dyDescent="0.25">
      <c r="A48" s="2">
        <v>44762</v>
      </c>
      <c r="B48" t="s">
        <v>15</v>
      </c>
      <c r="C48">
        <v>902040</v>
      </c>
      <c r="D48" s="2">
        <v>44762.426388888889</v>
      </c>
      <c r="E48" t="s">
        <v>50</v>
      </c>
      <c r="F48" t="s">
        <v>184</v>
      </c>
      <c r="G48">
        <v>270904</v>
      </c>
      <c r="H48">
        <v>105.3</v>
      </c>
      <c r="I48">
        <v>0</v>
      </c>
      <c r="J48" t="s">
        <v>188</v>
      </c>
      <c r="K48">
        <v>105.3</v>
      </c>
      <c r="L48">
        <v>0</v>
      </c>
      <c r="M48" s="5">
        <f t="shared" si="0"/>
        <v>6</v>
      </c>
      <c r="N48">
        <v>1</v>
      </c>
      <c r="O48">
        <v>6045</v>
      </c>
    </row>
    <row r="49" spans="1:15" x14ac:dyDescent="0.25">
      <c r="A49" s="2">
        <v>44768</v>
      </c>
      <c r="B49" t="s">
        <v>15</v>
      </c>
      <c r="C49">
        <v>903369</v>
      </c>
      <c r="D49" s="2">
        <v>44768.462500000001</v>
      </c>
      <c r="E49" t="s">
        <v>55</v>
      </c>
      <c r="G49">
        <v>0</v>
      </c>
      <c r="H49">
        <v>0</v>
      </c>
      <c r="I49">
        <v>385.04</v>
      </c>
      <c r="J49" t="s">
        <v>186</v>
      </c>
      <c r="K49">
        <v>-385.04</v>
      </c>
      <c r="L49">
        <v>-385.04</v>
      </c>
      <c r="M49" s="5">
        <f t="shared" si="0"/>
        <v>391.04</v>
      </c>
      <c r="N49">
        <v>1</v>
      </c>
      <c r="O49">
        <v>6045</v>
      </c>
    </row>
    <row r="50" spans="1:15" x14ac:dyDescent="0.25">
      <c r="A50" s="2">
        <v>44768</v>
      </c>
      <c r="B50" t="s">
        <v>15</v>
      </c>
      <c r="C50">
        <v>903369</v>
      </c>
      <c r="D50" s="2">
        <v>44768.462500000001</v>
      </c>
      <c r="E50" t="s">
        <v>49</v>
      </c>
      <c r="F50" t="s">
        <v>183</v>
      </c>
      <c r="G50">
        <v>359960</v>
      </c>
      <c r="H50">
        <v>32.340000000000003</v>
      </c>
      <c r="I50">
        <v>0</v>
      </c>
      <c r="J50" t="s">
        <v>187</v>
      </c>
      <c r="K50">
        <v>32.340000000000003</v>
      </c>
      <c r="L50">
        <v>-352.7</v>
      </c>
      <c r="M50" s="5">
        <f t="shared" si="0"/>
        <v>358.70000000000005</v>
      </c>
      <c r="N50">
        <v>1</v>
      </c>
      <c r="O50">
        <v>6045</v>
      </c>
    </row>
    <row r="51" spans="1:15" x14ac:dyDescent="0.25">
      <c r="A51" s="2">
        <v>44768</v>
      </c>
      <c r="B51" t="s">
        <v>15</v>
      </c>
      <c r="C51">
        <v>903398</v>
      </c>
      <c r="D51" s="2">
        <v>44768.463888888888</v>
      </c>
      <c r="E51" t="s">
        <v>50</v>
      </c>
      <c r="F51" t="s">
        <v>184</v>
      </c>
      <c r="G51">
        <v>271503</v>
      </c>
      <c r="H51">
        <v>352.7</v>
      </c>
      <c r="I51">
        <v>0</v>
      </c>
      <c r="J51" t="s">
        <v>188</v>
      </c>
      <c r="K51">
        <v>352.7</v>
      </c>
      <c r="L51">
        <v>0</v>
      </c>
      <c r="M51" s="5">
        <f t="shared" si="0"/>
        <v>6.0000000000000568</v>
      </c>
      <c r="N51">
        <v>1</v>
      </c>
      <c r="O51">
        <v>6045</v>
      </c>
    </row>
    <row r="52" spans="1:15" x14ac:dyDescent="0.25">
      <c r="A52" s="2">
        <v>44770</v>
      </c>
      <c r="B52" t="s">
        <v>15</v>
      </c>
      <c r="C52">
        <v>903686</v>
      </c>
      <c r="D52" s="2">
        <v>44770.022222222222</v>
      </c>
      <c r="E52" t="s">
        <v>52</v>
      </c>
      <c r="F52" t="s">
        <v>183</v>
      </c>
      <c r="G52">
        <v>360703</v>
      </c>
      <c r="H52">
        <v>6</v>
      </c>
      <c r="I52">
        <v>0</v>
      </c>
      <c r="J52" t="s">
        <v>185</v>
      </c>
      <c r="K52">
        <v>6</v>
      </c>
      <c r="L52">
        <v>6</v>
      </c>
      <c r="M52" s="5">
        <f t="shared" si="0"/>
        <v>5.6843418860808015E-14</v>
      </c>
      <c r="N52">
        <v>0</v>
      </c>
      <c r="O52">
        <v>6045</v>
      </c>
    </row>
    <row r="53" spans="1:15" x14ac:dyDescent="0.25">
      <c r="A53" s="2">
        <v>44664</v>
      </c>
      <c r="B53" t="s">
        <v>16</v>
      </c>
      <c r="C53">
        <v>881139</v>
      </c>
      <c r="D53" s="2">
        <v>44664.42291666667</v>
      </c>
      <c r="E53" t="s">
        <v>56</v>
      </c>
      <c r="G53">
        <v>0</v>
      </c>
      <c r="H53">
        <v>0</v>
      </c>
      <c r="I53">
        <v>550</v>
      </c>
      <c r="J53" t="s">
        <v>186</v>
      </c>
      <c r="K53">
        <v>-550</v>
      </c>
      <c r="L53">
        <v>-550</v>
      </c>
      <c r="N53">
        <v>1</v>
      </c>
      <c r="O53">
        <v>6045</v>
      </c>
    </row>
    <row r="54" spans="1:15" x14ac:dyDescent="0.25">
      <c r="A54" s="2">
        <v>44664</v>
      </c>
      <c r="B54" t="s">
        <v>16</v>
      </c>
      <c r="C54">
        <v>881139</v>
      </c>
      <c r="D54" s="2">
        <v>44664.42291666667</v>
      </c>
      <c r="E54" t="s">
        <v>57</v>
      </c>
      <c r="F54" t="s">
        <v>183</v>
      </c>
      <c r="G54">
        <v>346853</v>
      </c>
      <c r="H54">
        <v>46.2</v>
      </c>
      <c r="I54">
        <v>0</v>
      </c>
      <c r="J54" t="s">
        <v>187</v>
      </c>
      <c r="K54">
        <v>46.2</v>
      </c>
      <c r="L54">
        <v>-503.8</v>
      </c>
      <c r="N54">
        <v>1</v>
      </c>
      <c r="O54">
        <v>6045</v>
      </c>
    </row>
    <row r="55" spans="1:15" x14ac:dyDescent="0.25">
      <c r="A55" s="2">
        <v>44664</v>
      </c>
      <c r="B55" t="s">
        <v>16</v>
      </c>
      <c r="C55">
        <v>881147</v>
      </c>
      <c r="D55" s="2">
        <v>44664.424305555563</v>
      </c>
      <c r="E55" t="s">
        <v>58</v>
      </c>
      <c r="F55" t="s">
        <v>184</v>
      </c>
      <c r="G55">
        <v>261764</v>
      </c>
      <c r="H55">
        <v>497.8</v>
      </c>
      <c r="I55">
        <v>0</v>
      </c>
      <c r="J55" t="s">
        <v>188</v>
      </c>
      <c r="K55">
        <v>497.8</v>
      </c>
      <c r="L55">
        <v>-6</v>
      </c>
      <c r="N55">
        <v>1</v>
      </c>
      <c r="O55">
        <v>6045</v>
      </c>
    </row>
    <row r="56" spans="1:15" x14ac:dyDescent="0.25">
      <c r="A56" s="2">
        <v>44679</v>
      </c>
      <c r="B56" t="s">
        <v>16</v>
      </c>
      <c r="C56">
        <v>884442</v>
      </c>
      <c r="D56" s="2">
        <v>44679.022222222222</v>
      </c>
      <c r="E56" t="s">
        <v>59</v>
      </c>
      <c r="F56" t="s">
        <v>183</v>
      </c>
      <c r="G56">
        <v>348883</v>
      </c>
      <c r="H56">
        <v>6</v>
      </c>
      <c r="I56">
        <v>0</v>
      </c>
      <c r="J56" t="s">
        <v>185</v>
      </c>
      <c r="K56">
        <v>6</v>
      </c>
      <c r="L56">
        <v>6</v>
      </c>
      <c r="N56">
        <v>1</v>
      </c>
      <c r="O56">
        <v>6045</v>
      </c>
    </row>
    <row r="57" spans="1:15" x14ac:dyDescent="0.25">
      <c r="A57" s="2">
        <v>44694</v>
      </c>
      <c r="B57" t="s">
        <v>16</v>
      </c>
      <c r="C57">
        <v>887819</v>
      </c>
      <c r="D57" s="2">
        <v>44694.415972222218</v>
      </c>
      <c r="E57" t="s">
        <v>60</v>
      </c>
      <c r="G57">
        <v>0</v>
      </c>
      <c r="H57">
        <v>0</v>
      </c>
      <c r="I57">
        <v>550</v>
      </c>
      <c r="J57" t="s">
        <v>186</v>
      </c>
      <c r="K57">
        <v>-550</v>
      </c>
      <c r="L57">
        <v>-544</v>
      </c>
      <c r="N57">
        <v>1</v>
      </c>
      <c r="O57">
        <v>6045</v>
      </c>
    </row>
    <row r="58" spans="1:15" x14ac:dyDescent="0.25">
      <c r="A58" s="2">
        <v>44694</v>
      </c>
      <c r="B58" t="s">
        <v>16</v>
      </c>
      <c r="C58">
        <v>887819</v>
      </c>
      <c r="D58" s="2">
        <v>44694.415972222218</v>
      </c>
      <c r="E58" t="s">
        <v>57</v>
      </c>
      <c r="F58" t="s">
        <v>183</v>
      </c>
      <c r="G58">
        <v>350912</v>
      </c>
      <c r="H58">
        <v>46.2</v>
      </c>
      <c r="I58">
        <v>0</v>
      </c>
      <c r="J58" t="s">
        <v>187</v>
      </c>
      <c r="K58">
        <v>46.2</v>
      </c>
      <c r="L58">
        <v>-497.8</v>
      </c>
      <c r="N58">
        <v>1</v>
      </c>
      <c r="O58">
        <v>6045</v>
      </c>
    </row>
    <row r="59" spans="1:15" x14ac:dyDescent="0.25">
      <c r="A59" s="2">
        <v>44694</v>
      </c>
      <c r="B59" t="s">
        <v>16</v>
      </c>
      <c r="C59">
        <v>887827</v>
      </c>
      <c r="D59" s="2">
        <v>44694.418055555558</v>
      </c>
      <c r="E59" t="s">
        <v>58</v>
      </c>
      <c r="F59" t="s">
        <v>184</v>
      </c>
      <c r="G59">
        <v>264473</v>
      </c>
      <c r="H59">
        <v>497.8</v>
      </c>
      <c r="I59">
        <v>0</v>
      </c>
      <c r="J59" t="s">
        <v>188</v>
      </c>
      <c r="K59">
        <v>497.8</v>
      </c>
      <c r="L59">
        <v>0</v>
      </c>
      <c r="N59">
        <v>1</v>
      </c>
      <c r="O59">
        <v>6045</v>
      </c>
    </row>
    <row r="60" spans="1:15" x14ac:dyDescent="0.25">
      <c r="A60" s="2">
        <v>44709</v>
      </c>
      <c r="B60" t="s">
        <v>16</v>
      </c>
      <c r="C60">
        <v>890834</v>
      </c>
      <c r="D60" s="2">
        <v>44709.022222222222</v>
      </c>
      <c r="E60" t="s">
        <v>59</v>
      </c>
      <c r="F60" t="s">
        <v>183</v>
      </c>
      <c r="G60">
        <v>352913</v>
      </c>
      <c r="H60">
        <v>6</v>
      </c>
      <c r="I60">
        <v>0</v>
      </c>
      <c r="J60" t="s">
        <v>185</v>
      </c>
      <c r="K60">
        <v>6</v>
      </c>
      <c r="L60">
        <v>6</v>
      </c>
      <c r="N60">
        <v>1</v>
      </c>
      <c r="O60">
        <v>6045</v>
      </c>
    </row>
    <row r="61" spans="1:15" x14ac:dyDescent="0.25">
      <c r="A61" s="2">
        <v>44726</v>
      </c>
      <c r="B61" t="s">
        <v>16</v>
      </c>
      <c r="C61">
        <v>894169</v>
      </c>
      <c r="D61" s="2">
        <v>44726.443749999999</v>
      </c>
      <c r="E61" t="s">
        <v>61</v>
      </c>
      <c r="G61">
        <v>0</v>
      </c>
      <c r="H61">
        <v>0</v>
      </c>
      <c r="I61">
        <v>550</v>
      </c>
      <c r="J61" t="s">
        <v>186</v>
      </c>
      <c r="K61">
        <v>-550</v>
      </c>
      <c r="L61">
        <v>-544</v>
      </c>
      <c r="N61">
        <v>1</v>
      </c>
      <c r="O61">
        <v>6045</v>
      </c>
    </row>
    <row r="62" spans="1:15" x14ac:dyDescent="0.25">
      <c r="A62" s="2">
        <v>44726</v>
      </c>
      <c r="B62" t="s">
        <v>16</v>
      </c>
      <c r="C62">
        <v>894169</v>
      </c>
      <c r="D62" s="2">
        <v>44726.443749999999</v>
      </c>
      <c r="E62" t="s">
        <v>57</v>
      </c>
      <c r="F62" t="s">
        <v>183</v>
      </c>
      <c r="G62">
        <v>354828</v>
      </c>
      <c r="H62">
        <v>46.2</v>
      </c>
      <c r="I62">
        <v>0</v>
      </c>
      <c r="J62" t="s">
        <v>187</v>
      </c>
      <c r="K62">
        <v>46.2</v>
      </c>
      <c r="L62">
        <v>-497.8</v>
      </c>
      <c r="N62">
        <v>1</v>
      </c>
      <c r="O62">
        <v>6045</v>
      </c>
    </row>
    <row r="63" spans="1:15" x14ac:dyDescent="0.25">
      <c r="A63" s="2">
        <v>44726</v>
      </c>
      <c r="B63" t="s">
        <v>16</v>
      </c>
      <c r="C63">
        <v>894181</v>
      </c>
      <c r="D63" s="2">
        <v>44726.445138888892</v>
      </c>
      <c r="E63" t="s">
        <v>58</v>
      </c>
      <c r="F63" t="s">
        <v>184</v>
      </c>
      <c r="G63">
        <v>267429</v>
      </c>
      <c r="H63">
        <v>497.8</v>
      </c>
      <c r="I63">
        <v>0</v>
      </c>
      <c r="J63" t="s">
        <v>188</v>
      </c>
      <c r="K63">
        <v>497.8</v>
      </c>
      <c r="L63">
        <v>0</v>
      </c>
      <c r="N63">
        <v>1</v>
      </c>
      <c r="O63">
        <v>6045</v>
      </c>
    </row>
    <row r="64" spans="1:15" x14ac:dyDescent="0.25">
      <c r="A64" s="2">
        <v>44740</v>
      </c>
      <c r="B64" t="s">
        <v>16</v>
      </c>
      <c r="C64">
        <v>896912</v>
      </c>
      <c r="D64" s="2">
        <v>44740.022222222222</v>
      </c>
      <c r="E64" t="s">
        <v>59</v>
      </c>
      <c r="F64" t="s">
        <v>183</v>
      </c>
      <c r="G64">
        <v>356702</v>
      </c>
      <c r="H64">
        <v>6</v>
      </c>
      <c r="I64">
        <v>0</v>
      </c>
      <c r="J64" t="s">
        <v>185</v>
      </c>
      <c r="K64">
        <v>6</v>
      </c>
      <c r="L64">
        <v>6</v>
      </c>
      <c r="N64">
        <v>1</v>
      </c>
      <c r="O64">
        <v>6045</v>
      </c>
    </row>
    <row r="65" spans="1:15" x14ac:dyDescent="0.25">
      <c r="A65" s="2">
        <v>44755</v>
      </c>
      <c r="B65" t="s">
        <v>16</v>
      </c>
      <c r="C65">
        <v>900292</v>
      </c>
      <c r="D65" s="2">
        <v>44755.472222222219</v>
      </c>
      <c r="E65" t="s">
        <v>62</v>
      </c>
      <c r="G65">
        <v>0</v>
      </c>
      <c r="H65">
        <v>0</v>
      </c>
      <c r="I65">
        <v>550</v>
      </c>
      <c r="J65" t="s">
        <v>186</v>
      </c>
      <c r="K65">
        <v>-550</v>
      </c>
      <c r="L65">
        <v>-544</v>
      </c>
      <c r="N65">
        <v>1</v>
      </c>
      <c r="O65">
        <v>6045</v>
      </c>
    </row>
    <row r="66" spans="1:15" x14ac:dyDescent="0.25">
      <c r="A66" s="2">
        <v>44755</v>
      </c>
      <c r="B66" t="s">
        <v>16</v>
      </c>
      <c r="C66">
        <v>900292</v>
      </c>
      <c r="D66" s="2">
        <v>44755.472222222219</v>
      </c>
      <c r="E66" t="s">
        <v>57</v>
      </c>
      <c r="F66" t="s">
        <v>183</v>
      </c>
      <c r="G66">
        <v>358659</v>
      </c>
      <c r="H66">
        <v>46.2</v>
      </c>
      <c r="I66">
        <v>0</v>
      </c>
      <c r="J66" t="s">
        <v>187</v>
      </c>
      <c r="K66">
        <v>46.2</v>
      </c>
      <c r="L66">
        <v>-497.8</v>
      </c>
      <c r="N66">
        <v>1</v>
      </c>
      <c r="O66">
        <v>6045</v>
      </c>
    </row>
    <row r="67" spans="1:15" x14ac:dyDescent="0.25">
      <c r="A67" s="2">
        <v>44755</v>
      </c>
      <c r="B67" t="s">
        <v>16</v>
      </c>
      <c r="C67">
        <v>900300</v>
      </c>
      <c r="D67" s="2">
        <v>44755.474999999999</v>
      </c>
      <c r="E67" t="s">
        <v>58</v>
      </c>
      <c r="F67" t="s">
        <v>184</v>
      </c>
      <c r="G67">
        <v>270047</v>
      </c>
      <c r="H67">
        <v>497.8</v>
      </c>
      <c r="I67">
        <v>0</v>
      </c>
      <c r="J67" t="s">
        <v>188</v>
      </c>
      <c r="K67">
        <v>497.8</v>
      </c>
      <c r="L67">
        <v>0</v>
      </c>
      <c r="N67">
        <v>1</v>
      </c>
      <c r="O67">
        <v>6045</v>
      </c>
    </row>
    <row r="68" spans="1:15" x14ac:dyDescent="0.25">
      <c r="A68" s="2">
        <v>44770</v>
      </c>
      <c r="B68" t="s">
        <v>16</v>
      </c>
      <c r="C68">
        <v>903686</v>
      </c>
      <c r="D68" s="2">
        <v>44770.022222222222</v>
      </c>
      <c r="E68" t="s">
        <v>59</v>
      </c>
      <c r="F68" t="s">
        <v>183</v>
      </c>
      <c r="G68">
        <v>360746</v>
      </c>
      <c r="H68">
        <v>6</v>
      </c>
      <c r="I68">
        <v>0</v>
      </c>
      <c r="J68" t="s">
        <v>185</v>
      </c>
      <c r="K68">
        <v>6</v>
      </c>
      <c r="L68">
        <v>6</v>
      </c>
      <c r="N68">
        <v>0</v>
      </c>
      <c r="O68">
        <v>6045</v>
      </c>
    </row>
    <row r="69" spans="1:15" x14ac:dyDescent="0.25">
      <c r="A69" s="2">
        <v>44658</v>
      </c>
      <c r="B69" t="s">
        <v>17</v>
      </c>
      <c r="C69">
        <v>880050</v>
      </c>
      <c r="D69" s="2">
        <v>44658.509027777778</v>
      </c>
      <c r="E69" t="s">
        <v>63</v>
      </c>
      <c r="G69">
        <v>0</v>
      </c>
      <c r="H69">
        <v>0</v>
      </c>
      <c r="I69">
        <v>80.599999999999994</v>
      </c>
      <c r="J69" t="s">
        <v>186</v>
      </c>
      <c r="K69">
        <v>-80.599999999999994</v>
      </c>
      <c r="L69">
        <v>-80.599999999999994</v>
      </c>
      <c r="N69">
        <v>1</v>
      </c>
      <c r="O69">
        <v>6045</v>
      </c>
    </row>
    <row r="70" spans="1:15" x14ac:dyDescent="0.25">
      <c r="A70" s="2">
        <v>44658</v>
      </c>
      <c r="B70" t="s">
        <v>17</v>
      </c>
      <c r="C70">
        <v>880050</v>
      </c>
      <c r="D70" s="2">
        <v>44658.509027777778</v>
      </c>
      <c r="E70" t="s">
        <v>64</v>
      </c>
      <c r="F70" t="s">
        <v>183</v>
      </c>
      <c r="G70">
        <v>346261</v>
      </c>
      <c r="H70">
        <v>6.77</v>
      </c>
      <c r="I70">
        <v>0</v>
      </c>
      <c r="J70" t="s">
        <v>187</v>
      </c>
      <c r="K70">
        <v>6.77</v>
      </c>
      <c r="L70">
        <v>-73.83</v>
      </c>
      <c r="N70">
        <v>1</v>
      </c>
      <c r="O70">
        <v>6045</v>
      </c>
    </row>
    <row r="71" spans="1:15" x14ac:dyDescent="0.25">
      <c r="A71" s="2">
        <v>44658</v>
      </c>
      <c r="B71" t="s">
        <v>17</v>
      </c>
      <c r="C71">
        <v>880050</v>
      </c>
      <c r="D71" s="2">
        <v>44658.509027777778</v>
      </c>
      <c r="E71" t="s">
        <v>65</v>
      </c>
      <c r="G71">
        <v>0</v>
      </c>
      <c r="H71">
        <v>0</v>
      </c>
      <c r="I71">
        <v>385.52</v>
      </c>
      <c r="J71" t="s">
        <v>186</v>
      </c>
      <c r="K71">
        <v>-385.52</v>
      </c>
      <c r="L71">
        <v>-459.35</v>
      </c>
      <c r="N71">
        <v>1</v>
      </c>
      <c r="O71">
        <v>6045</v>
      </c>
    </row>
    <row r="72" spans="1:15" x14ac:dyDescent="0.25">
      <c r="A72" s="2">
        <v>44658</v>
      </c>
      <c r="B72" t="s">
        <v>17</v>
      </c>
      <c r="C72">
        <v>880050</v>
      </c>
      <c r="D72" s="2">
        <v>44658.509027777778</v>
      </c>
      <c r="E72" t="s">
        <v>64</v>
      </c>
      <c r="F72" t="s">
        <v>183</v>
      </c>
      <c r="G72">
        <v>346261</v>
      </c>
      <c r="H72">
        <v>32.39</v>
      </c>
      <c r="I72">
        <v>0</v>
      </c>
      <c r="J72" t="s">
        <v>187</v>
      </c>
      <c r="K72">
        <v>32.39</v>
      </c>
      <c r="L72">
        <v>-426.96</v>
      </c>
      <c r="N72">
        <v>1</v>
      </c>
      <c r="O72">
        <v>6045</v>
      </c>
    </row>
    <row r="73" spans="1:15" x14ac:dyDescent="0.25">
      <c r="A73" s="2">
        <v>44658</v>
      </c>
      <c r="B73" t="s">
        <v>17</v>
      </c>
      <c r="C73">
        <v>880097</v>
      </c>
      <c r="D73" s="2">
        <v>44658.547222222223</v>
      </c>
      <c r="E73" t="s">
        <v>66</v>
      </c>
      <c r="F73" t="s">
        <v>184</v>
      </c>
      <c r="G73">
        <v>261176</v>
      </c>
      <c r="H73">
        <v>420.96</v>
      </c>
      <c r="I73">
        <v>0</v>
      </c>
      <c r="J73" t="s">
        <v>188</v>
      </c>
      <c r="K73">
        <v>420.96</v>
      </c>
      <c r="L73">
        <v>-6</v>
      </c>
      <c r="N73">
        <v>1</v>
      </c>
      <c r="O73">
        <v>6045</v>
      </c>
    </row>
    <row r="74" spans="1:15" x14ac:dyDescent="0.25">
      <c r="A74" s="2">
        <v>44679</v>
      </c>
      <c r="B74" t="s">
        <v>17</v>
      </c>
      <c r="C74">
        <v>884442</v>
      </c>
      <c r="D74" s="2">
        <v>44679.022222222222</v>
      </c>
      <c r="E74" t="s">
        <v>67</v>
      </c>
      <c r="F74" t="s">
        <v>183</v>
      </c>
      <c r="G74">
        <v>348900</v>
      </c>
      <c r="H74">
        <v>6</v>
      </c>
      <c r="I74">
        <v>0</v>
      </c>
      <c r="J74" t="s">
        <v>185</v>
      </c>
      <c r="K74">
        <v>6</v>
      </c>
      <c r="L74">
        <v>6</v>
      </c>
      <c r="N74">
        <v>1</v>
      </c>
      <c r="O74">
        <v>6045</v>
      </c>
    </row>
    <row r="75" spans="1:15" x14ac:dyDescent="0.25">
      <c r="A75" s="2">
        <v>44691</v>
      </c>
      <c r="B75" t="s">
        <v>17</v>
      </c>
      <c r="C75">
        <v>886922</v>
      </c>
      <c r="D75" s="2">
        <v>44691.475694444453</v>
      </c>
      <c r="E75" t="s">
        <v>68</v>
      </c>
      <c r="G75">
        <v>0</v>
      </c>
      <c r="H75">
        <v>0</v>
      </c>
      <c r="I75">
        <v>41.72</v>
      </c>
      <c r="J75" t="s">
        <v>186</v>
      </c>
      <c r="K75">
        <v>-41.72</v>
      </c>
      <c r="L75">
        <v>-35.72</v>
      </c>
      <c r="N75">
        <v>1</v>
      </c>
      <c r="O75">
        <v>6045</v>
      </c>
    </row>
    <row r="76" spans="1:15" x14ac:dyDescent="0.25">
      <c r="A76" s="2">
        <v>44691</v>
      </c>
      <c r="B76" t="s">
        <v>17</v>
      </c>
      <c r="C76">
        <v>886922</v>
      </c>
      <c r="D76" s="2">
        <v>44691.475694444453</v>
      </c>
      <c r="E76" t="s">
        <v>64</v>
      </c>
      <c r="F76" t="s">
        <v>183</v>
      </c>
      <c r="G76">
        <v>350571</v>
      </c>
      <c r="H76">
        <v>3.5</v>
      </c>
      <c r="I76">
        <v>0</v>
      </c>
      <c r="J76" t="s">
        <v>187</v>
      </c>
      <c r="K76">
        <v>3.5</v>
      </c>
      <c r="L76">
        <v>-32.22</v>
      </c>
      <c r="N76">
        <v>1</v>
      </c>
      <c r="O76">
        <v>6045</v>
      </c>
    </row>
    <row r="77" spans="1:15" x14ac:dyDescent="0.25">
      <c r="A77" s="2">
        <v>44691</v>
      </c>
      <c r="B77" t="s">
        <v>17</v>
      </c>
      <c r="C77">
        <v>886922</v>
      </c>
      <c r="D77" s="2">
        <v>44691.475694444453</v>
      </c>
      <c r="E77" t="s">
        <v>63</v>
      </c>
      <c r="G77">
        <v>0</v>
      </c>
      <c r="H77">
        <v>0</v>
      </c>
      <c r="I77">
        <v>424.4</v>
      </c>
      <c r="J77" t="s">
        <v>186</v>
      </c>
      <c r="K77">
        <v>-424.4</v>
      </c>
      <c r="L77">
        <v>-456.62</v>
      </c>
      <c r="N77">
        <v>1</v>
      </c>
      <c r="O77">
        <v>6045</v>
      </c>
    </row>
    <row r="78" spans="1:15" x14ac:dyDescent="0.25">
      <c r="A78" s="2">
        <v>44691</v>
      </c>
      <c r="B78" t="s">
        <v>17</v>
      </c>
      <c r="C78">
        <v>886922</v>
      </c>
      <c r="D78" s="2">
        <v>44691.475694444453</v>
      </c>
      <c r="E78" t="s">
        <v>64</v>
      </c>
      <c r="F78" t="s">
        <v>183</v>
      </c>
      <c r="G78">
        <v>350571</v>
      </c>
      <c r="H78">
        <v>35.65</v>
      </c>
      <c r="I78">
        <v>0</v>
      </c>
      <c r="J78" t="s">
        <v>187</v>
      </c>
      <c r="K78">
        <v>35.65</v>
      </c>
      <c r="L78">
        <v>-420.97</v>
      </c>
      <c r="N78">
        <v>1</v>
      </c>
      <c r="O78">
        <v>6045</v>
      </c>
    </row>
    <row r="79" spans="1:15" x14ac:dyDescent="0.25">
      <c r="A79" s="2">
        <v>44691</v>
      </c>
      <c r="B79" t="s">
        <v>17</v>
      </c>
      <c r="C79">
        <v>886961</v>
      </c>
      <c r="D79" s="2">
        <v>44691.477777777778</v>
      </c>
      <c r="E79" t="s">
        <v>66</v>
      </c>
      <c r="F79" t="s">
        <v>184</v>
      </c>
      <c r="G79">
        <v>264085</v>
      </c>
      <c r="H79">
        <v>420.97</v>
      </c>
      <c r="I79">
        <v>0</v>
      </c>
      <c r="J79" t="s">
        <v>188</v>
      </c>
      <c r="K79">
        <v>420.97</v>
      </c>
      <c r="L79">
        <v>0</v>
      </c>
      <c r="N79">
        <v>1</v>
      </c>
      <c r="O79">
        <v>6045</v>
      </c>
    </row>
    <row r="80" spans="1:15" x14ac:dyDescent="0.25">
      <c r="A80" s="2">
        <v>44709</v>
      </c>
      <c r="B80" t="s">
        <v>17</v>
      </c>
      <c r="C80">
        <v>890834</v>
      </c>
      <c r="D80" s="2">
        <v>44709.022222222222</v>
      </c>
      <c r="E80" t="s">
        <v>67</v>
      </c>
      <c r="F80" t="s">
        <v>183</v>
      </c>
      <c r="G80">
        <v>352930</v>
      </c>
      <c r="H80">
        <v>6</v>
      </c>
      <c r="I80">
        <v>0</v>
      </c>
      <c r="J80" t="s">
        <v>185</v>
      </c>
      <c r="K80">
        <v>6</v>
      </c>
      <c r="L80">
        <v>6</v>
      </c>
      <c r="N80">
        <v>1</v>
      </c>
      <c r="O80">
        <v>6045</v>
      </c>
    </row>
    <row r="81" spans="1:15" x14ac:dyDescent="0.25">
      <c r="A81" s="2">
        <v>44713</v>
      </c>
      <c r="B81" t="s">
        <v>17</v>
      </c>
      <c r="C81">
        <v>891705</v>
      </c>
      <c r="D81" s="2">
        <v>44713.456944444442</v>
      </c>
      <c r="E81" t="s">
        <v>68</v>
      </c>
      <c r="G81">
        <v>0</v>
      </c>
      <c r="H81">
        <v>0</v>
      </c>
      <c r="I81">
        <v>463.28</v>
      </c>
      <c r="J81" t="s">
        <v>186</v>
      </c>
      <c r="K81">
        <v>-463.28</v>
      </c>
      <c r="L81">
        <v>-457.28</v>
      </c>
      <c r="N81">
        <v>1</v>
      </c>
      <c r="O81">
        <v>6045</v>
      </c>
    </row>
    <row r="82" spans="1:15" x14ac:dyDescent="0.25">
      <c r="A82" s="2">
        <v>44713</v>
      </c>
      <c r="B82" t="s">
        <v>17</v>
      </c>
      <c r="C82">
        <v>891705</v>
      </c>
      <c r="D82" s="2">
        <v>44713.456944444442</v>
      </c>
      <c r="E82" t="s">
        <v>64</v>
      </c>
      <c r="F82" t="s">
        <v>183</v>
      </c>
      <c r="G82">
        <v>353515</v>
      </c>
      <c r="H82">
        <v>38.92</v>
      </c>
      <c r="I82">
        <v>0</v>
      </c>
      <c r="J82" t="s">
        <v>187</v>
      </c>
      <c r="K82">
        <v>38.92</v>
      </c>
      <c r="L82">
        <v>-418.36</v>
      </c>
      <c r="N82">
        <v>1</v>
      </c>
      <c r="O82">
        <v>6045</v>
      </c>
    </row>
    <row r="83" spans="1:15" x14ac:dyDescent="0.25">
      <c r="A83" s="2">
        <v>44713</v>
      </c>
      <c r="B83" t="s">
        <v>17</v>
      </c>
      <c r="C83">
        <v>891743</v>
      </c>
      <c r="D83" s="2">
        <v>44713.459027777782</v>
      </c>
      <c r="E83" t="s">
        <v>66</v>
      </c>
      <c r="F83" t="s">
        <v>184</v>
      </c>
      <c r="G83">
        <v>266240</v>
      </c>
      <c r="H83">
        <v>418.36</v>
      </c>
      <c r="I83">
        <v>0</v>
      </c>
      <c r="J83" t="s">
        <v>188</v>
      </c>
      <c r="K83">
        <v>418.36</v>
      </c>
      <c r="L83">
        <v>0</v>
      </c>
      <c r="N83">
        <v>1</v>
      </c>
      <c r="O83">
        <v>6045</v>
      </c>
    </row>
    <row r="84" spans="1:15" x14ac:dyDescent="0.25">
      <c r="A84" s="2">
        <v>44740</v>
      </c>
      <c r="B84" t="s">
        <v>17</v>
      </c>
      <c r="C84">
        <v>896912</v>
      </c>
      <c r="D84" s="2">
        <v>44740.022222222222</v>
      </c>
      <c r="E84" t="s">
        <v>67</v>
      </c>
      <c r="F84" t="s">
        <v>183</v>
      </c>
      <c r="G84">
        <v>356717</v>
      </c>
      <c r="H84">
        <v>6</v>
      </c>
      <c r="I84">
        <v>0</v>
      </c>
      <c r="J84" t="s">
        <v>185</v>
      </c>
      <c r="K84">
        <v>6</v>
      </c>
      <c r="L84">
        <v>6</v>
      </c>
      <c r="N84">
        <v>1</v>
      </c>
      <c r="O84">
        <v>6045</v>
      </c>
    </row>
    <row r="85" spans="1:15" x14ac:dyDescent="0.25">
      <c r="A85" s="2">
        <v>44740</v>
      </c>
      <c r="B85" t="s">
        <v>17</v>
      </c>
      <c r="C85">
        <v>897176</v>
      </c>
      <c r="D85" s="2">
        <v>44740.519444444442</v>
      </c>
      <c r="E85" t="s">
        <v>69</v>
      </c>
      <c r="G85">
        <v>0</v>
      </c>
      <c r="H85">
        <v>0</v>
      </c>
      <c r="I85">
        <v>468.96</v>
      </c>
      <c r="J85" t="s">
        <v>186</v>
      </c>
      <c r="K85">
        <v>-468.96</v>
      </c>
      <c r="L85">
        <v>-462.96</v>
      </c>
      <c r="N85">
        <v>1</v>
      </c>
      <c r="O85">
        <v>6045</v>
      </c>
    </row>
    <row r="86" spans="1:15" x14ac:dyDescent="0.25">
      <c r="A86" s="2">
        <v>44740</v>
      </c>
      <c r="B86" t="s">
        <v>17</v>
      </c>
      <c r="C86">
        <v>897176</v>
      </c>
      <c r="D86" s="2">
        <v>44740.519444444442</v>
      </c>
      <c r="E86" t="s">
        <v>64</v>
      </c>
      <c r="F86" t="s">
        <v>183</v>
      </c>
      <c r="G86">
        <v>357014</v>
      </c>
      <c r="H86">
        <v>39.4</v>
      </c>
      <c r="I86">
        <v>0</v>
      </c>
      <c r="J86" t="s">
        <v>187</v>
      </c>
      <c r="K86">
        <v>39.4</v>
      </c>
      <c r="L86">
        <v>-423.56</v>
      </c>
      <c r="N86">
        <v>1</v>
      </c>
      <c r="O86">
        <v>6045</v>
      </c>
    </row>
    <row r="87" spans="1:15" x14ac:dyDescent="0.25">
      <c r="A87" s="2">
        <v>44740</v>
      </c>
      <c r="B87" t="s">
        <v>17</v>
      </c>
      <c r="C87">
        <v>897206</v>
      </c>
      <c r="D87" s="2">
        <v>44740.520138888889</v>
      </c>
      <c r="E87" t="s">
        <v>66</v>
      </c>
      <c r="F87" t="s">
        <v>184</v>
      </c>
      <c r="G87">
        <v>268734</v>
      </c>
      <c r="H87">
        <v>423.56</v>
      </c>
      <c r="I87">
        <v>0</v>
      </c>
      <c r="J87" t="s">
        <v>188</v>
      </c>
      <c r="K87">
        <v>423.56</v>
      </c>
      <c r="L87">
        <v>0</v>
      </c>
      <c r="N87">
        <v>1</v>
      </c>
      <c r="O87">
        <v>6045</v>
      </c>
    </row>
    <row r="88" spans="1:15" x14ac:dyDescent="0.25">
      <c r="A88" s="2">
        <v>44768</v>
      </c>
      <c r="B88" t="s">
        <v>17</v>
      </c>
      <c r="C88">
        <v>903367</v>
      </c>
      <c r="D88" s="2">
        <v>44768.462500000001</v>
      </c>
      <c r="E88" t="s">
        <v>69</v>
      </c>
      <c r="G88">
        <v>0</v>
      </c>
      <c r="H88">
        <v>0</v>
      </c>
      <c r="I88">
        <v>36.04</v>
      </c>
      <c r="J88" t="s">
        <v>186</v>
      </c>
      <c r="K88">
        <v>-36.04</v>
      </c>
      <c r="L88">
        <v>-36.04</v>
      </c>
      <c r="N88">
        <v>1</v>
      </c>
      <c r="O88">
        <v>6045</v>
      </c>
    </row>
    <row r="89" spans="1:15" x14ac:dyDescent="0.25">
      <c r="A89" s="2">
        <v>44768</v>
      </c>
      <c r="B89" t="s">
        <v>17</v>
      </c>
      <c r="C89">
        <v>903367</v>
      </c>
      <c r="D89" s="2">
        <v>44768.462500000001</v>
      </c>
      <c r="E89" t="s">
        <v>64</v>
      </c>
      <c r="F89" t="s">
        <v>183</v>
      </c>
      <c r="G89">
        <v>359958</v>
      </c>
      <c r="H89">
        <v>3.02</v>
      </c>
      <c r="I89">
        <v>0</v>
      </c>
      <c r="J89" t="s">
        <v>187</v>
      </c>
      <c r="K89">
        <v>3.02</v>
      </c>
      <c r="L89">
        <v>-33.020000000000003</v>
      </c>
      <c r="N89">
        <v>1</v>
      </c>
      <c r="O89">
        <v>6045</v>
      </c>
    </row>
    <row r="90" spans="1:15" x14ac:dyDescent="0.25">
      <c r="A90" s="2">
        <v>44768</v>
      </c>
      <c r="B90" t="s">
        <v>17</v>
      </c>
      <c r="C90">
        <v>903367</v>
      </c>
      <c r="D90" s="2">
        <v>44768.462500000001</v>
      </c>
      <c r="E90" t="s">
        <v>70</v>
      </c>
      <c r="G90">
        <v>0</v>
      </c>
      <c r="H90">
        <v>0</v>
      </c>
      <c r="I90">
        <v>430.08</v>
      </c>
      <c r="J90" t="s">
        <v>186</v>
      </c>
      <c r="K90">
        <v>-430.08</v>
      </c>
      <c r="L90">
        <v>-463.1</v>
      </c>
      <c r="N90">
        <v>1</v>
      </c>
      <c r="O90">
        <v>6045</v>
      </c>
    </row>
    <row r="91" spans="1:15" x14ac:dyDescent="0.25">
      <c r="A91" s="2">
        <v>44768</v>
      </c>
      <c r="B91" t="s">
        <v>17</v>
      </c>
      <c r="C91">
        <v>903367</v>
      </c>
      <c r="D91" s="2">
        <v>44768.462500000001</v>
      </c>
      <c r="E91" t="s">
        <v>64</v>
      </c>
      <c r="F91" t="s">
        <v>183</v>
      </c>
      <c r="G91">
        <v>359958</v>
      </c>
      <c r="H91">
        <v>36.130000000000003</v>
      </c>
      <c r="I91">
        <v>0</v>
      </c>
      <c r="J91" t="s">
        <v>187</v>
      </c>
      <c r="K91">
        <v>36.130000000000003</v>
      </c>
      <c r="L91">
        <v>-426.97</v>
      </c>
      <c r="N91">
        <v>1</v>
      </c>
      <c r="O91">
        <v>6045</v>
      </c>
    </row>
    <row r="92" spans="1:15" x14ac:dyDescent="0.25">
      <c r="A92" s="2">
        <v>44768</v>
      </c>
      <c r="B92" t="s">
        <v>17</v>
      </c>
      <c r="C92">
        <v>903398</v>
      </c>
      <c r="D92" s="2">
        <v>44768.463888888888</v>
      </c>
      <c r="E92" t="s">
        <v>66</v>
      </c>
      <c r="F92" t="s">
        <v>184</v>
      </c>
      <c r="G92">
        <v>271501</v>
      </c>
      <c r="H92">
        <v>426.97</v>
      </c>
      <c r="I92">
        <v>0</v>
      </c>
      <c r="J92" t="s">
        <v>188</v>
      </c>
      <c r="K92">
        <v>426.97</v>
      </c>
      <c r="L92">
        <v>0</v>
      </c>
      <c r="N92">
        <v>1</v>
      </c>
      <c r="O92">
        <v>6045</v>
      </c>
    </row>
    <row r="93" spans="1:15" x14ac:dyDescent="0.25">
      <c r="A93" s="2">
        <v>44770</v>
      </c>
      <c r="B93" t="s">
        <v>17</v>
      </c>
      <c r="C93">
        <v>903686</v>
      </c>
      <c r="D93" s="2">
        <v>44770.022222222222</v>
      </c>
      <c r="E93" t="s">
        <v>67</v>
      </c>
      <c r="F93" t="s">
        <v>183</v>
      </c>
      <c r="G93">
        <v>360761</v>
      </c>
      <c r="H93">
        <v>6</v>
      </c>
      <c r="I93">
        <v>0</v>
      </c>
      <c r="J93" t="s">
        <v>185</v>
      </c>
      <c r="K93">
        <v>6</v>
      </c>
      <c r="L93">
        <v>6</v>
      </c>
      <c r="N93">
        <v>0</v>
      </c>
      <c r="O93">
        <v>6045</v>
      </c>
    </row>
    <row r="94" spans="1:15" x14ac:dyDescent="0.25">
      <c r="A94" s="2">
        <v>44662</v>
      </c>
      <c r="B94" t="s">
        <v>18</v>
      </c>
      <c r="C94">
        <v>880457</v>
      </c>
      <c r="D94" s="2">
        <v>44662.522916666669</v>
      </c>
      <c r="E94" t="s">
        <v>71</v>
      </c>
      <c r="G94">
        <v>0</v>
      </c>
      <c r="H94">
        <v>0</v>
      </c>
      <c r="I94">
        <v>280</v>
      </c>
      <c r="J94" t="s">
        <v>186</v>
      </c>
      <c r="K94">
        <v>-280</v>
      </c>
      <c r="L94">
        <v>-280</v>
      </c>
      <c r="N94">
        <v>1</v>
      </c>
      <c r="O94">
        <v>6045</v>
      </c>
    </row>
    <row r="95" spans="1:15" x14ac:dyDescent="0.25">
      <c r="A95" s="2">
        <v>44662</v>
      </c>
      <c r="B95" t="s">
        <v>18</v>
      </c>
      <c r="C95">
        <v>880457</v>
      </c>
      <c r="D95" s="2">
        <v>44662.522916666669</v>
      </c>
      <c r="E95" t="s">
        <v>72</v>
      </c>
      <c r="F95" t="s">
        <v>183</v>
      </c>
      <c r="G95">
        <v>346644</v>
      </c>
      <c r="H95">
        <v>23.52</v>
      </c>
      <c r="I95">
        <v>0</v>
      </c>
      <c r="J95" t="s">
        <v>187</v>
      </c>
      <c r="K95">
        <v>23.52</v>
      </c>
      <c r="L95">
        <v>-256.48</v>
      </c>
      <c r="N95">
        <v>1</v>
      </c>
      <c r="O95">
        <v>6045</v>
      </c>
    </row>
    <row r="96" spans="1:15" x14ac:dyDescent="0.25">
      <c r="A96" s="2">
        <v>44662</v>
      </c>
      <c r="B96" t="s">
        <v>18</v>
      </c>
      <c r="C96">
        <v>880457</v>
      </c>
      <c r="D96" s="2">
        <v>44662.522916666669</v>
      </c>
      <c r="E96" t="s">
        <v>73</v>
      </c>
      <c r="G96">
        <v>0</v>
      </c>
      <c r="H96">
        <v>0</v>
      </c>
      <c r="I96">
        <v>420</v>
      </c>
      <c r="J96" t="s">
        <v>186</v>
      </c>
      <c r="K96">
        <v>-420</v>
      </c>
      <c r="L96">
        <v>-676.48</v>
      </c>
      <c r="N96">
        <v>1</v>
      </c>
      <c r="O96">
        <v>6045</v>
      </c>
    </row>
    <row r="97" spans="1:15" x14ac:dyDescent="0.25">
      <c r="A97" s="2">
        <v>44662</v>
      </c>
      <c r="B97" t="s">
        <v>18</v>
      </c>
      <c r="C97">
        <v>880457</v>
      </c>
      <c r="D97" s="2">
        <v>44662.522916666669</v>
      </c>
      <c r="E97" t="s">
        <v>72</v>
      </c>
      <c r="F97" t="s">
        <v>183</v>
      </c>
      <c r="G97">
        <v>346644</v>
      </c>
      <c r="H97">
        <v>35.28</v>
      </c>
      <c r="I97">
        <v>0</v>
      </c>
      <c r="J97" t="s">
        <v>187</v>
      </c>
      <c r="K97">
        <v>35.28</v>
      </c>
      <c r="L97">
        <v>-641.20000000000005</v>
      </c>
      <c r="N97">
        <v>1</v>
      </c>
      <c r="O97">
        <v>6045</v>
      </c>
    </row>
    <row r="98" spans="1:15" x14ac:dyDescent="0.25">
      <c r="A98" s="2">
        <v>44662</v>
      </c>
      <c r="B98" t="s">
        <v>18</v>
      </c>
      <c r="C98">
        <v>880467</v>
      </c>
      <c r="D98" s="2">
        <v>44662.523611111108</v>
      </c>
      <c r="E98" t="s">
        <v>74</v>
      </c>
      <c r="F98" t="s">
        <v>184</v>
      </c>
      <c r="G98">
        <v>261295</v>
      </c>
      <c r="H98">
        <v>635.20000000000005</v>
      </c>
      <c r="I98">
        <v>0</v>
      </c>
      <c r="J98" t="s">
        <v>188</v>
      </c>
      <c r="K98">
        <v>635.20000000000005</v>
      </c>
      <c r="L98">
        <v>-6</v>
      </c>
      <c r="N98">
        <v>1</v>
      </c>
      <c r="O98">
        <v>6045</v>
      </c>
    </row>
    <row r="99" spans="1:15" x14ac:dyDescent="0.25">
      <c r="A99" s="2">
        <v>44679</v>
      </c>
      <c r="B99" t="s">
        <v>18</v>
      </c>
      <c r="C99">
        <v>884442</v>
      </c>
      <c r="D99" s="2">
        <v>44679.022222222222</v>
      </c>
      <c r="E99" t="s">
        <v>75</v>
      </c>
      <c r="F99" t="s">
        <v>183</v>
      </c>
      <c r="G99">
        <v>348903</v>
      </c>
      <c r="H99">
        <v>6</v>
      </c>
      <c r="I99">
        <v>0</v>
      </c>
      <c r="J99" t="s">
        <v>185</v>
      </c>
      <c r="K99">
        <v>6</v>
      </c>
      <c r="L99">
        <v>6</v>
      </c>
      <c r="N99">
        <v>1</v>
      </c>
      <c r="O99">
        <v>6045</v>
      </c>
    </row>
    <row r="100" spans="1:15" x14ac:dyDescent="0.25">
      <c r="A100" s="2">
        <v>44692</v>
      </c>
      <c r="B100" t="s">
        <v>18</v>
      </c>
      <c r="C100">
        <v>887246</v>
      </c>
      <c r="D100" s="2">
        <v>44692.46597222222</v>
      </c>
      <c r="E100" t="s">
        <v>73</v>
      </c>
      <c r="G100">
        <v>0</v>
      </c>
      <c r="H100">
        <v>0</v>
      </c>
      <c r="I100">
        <v>160</v>
      </c>
      <c r="J100" t="s">
        <v>186</v>
      </c>
      <c r="K100">
        <v>-160</v>
      </c>
      <c r="L100">
        <v>-154</v>
      </c>
      <c r="N100">
        <v>1</v>
      </c>
      <c r="O100">
        <v>6045</v>
      </c>
    </row>
    <row r="101" spans="1:15" x14ac:dyDescent="0.25">
      <c r="A101" s="2">
        <v>44692</v>
      </c>
      <c r="B101" t="s">
        <v>18</v>
      </c>
      <c r="C101">
        <v>887246</v>
      </c>
      <c r="D101" s="2">
        <v>44692.46597222222</v>
      </c>
      <c r="E101" t="s">
        <v>72</v>
      </c>
      <c r="F101" t="s">
        <v>183</v>
      </c>
      <c r="G101">
        <v>350719</v>
      </c>
      <c r="H101">
        <v>13.44</v>
      </c>
      <c r="I101">
        <v>0</v>
      </c>
      <c r="J101" t="s">
        <v>187</v>
      </c>
      <c r="K101">
        <v>13.44</v>
      </c>
      <c r="L101">
        <v>-140.56</v>
      </c>
      <c r="N101">
        <v>1</v>
      </c>
      <c r="O101">
        <v>6045</v>
      </c>
    </row>
    <row r="102" spans="1:15" x14ac:dyDescent="0.25">
      <c r="A102" s="2">
        <v>44692</v>
      </c>
      <c r="B102" t="s">
        <v>18</v>
      </c>
      <c r="C102">
        <v>887246</v>
      </c>
      <c r="D102" s="2">
        <v>44692.46597222222</v>
      </c>
      <c r="E102" t="s">
        <v>76</v>
      </c>
      <c r="G102">
        <v>0</v>
      </c>
      <c r="H102">
        <v>0</v>
      </c>
      <c r="I102">
        <v>540</v>
      </c>
      <c r="J102" t="s">
        <v>186</v>
      </c>
      <c r="K102">
        <v>-540</v>
      </c>
      <c r="L102">
        <v>-680.56</v>
      </c>
      <c r="N102">
        <v>1</v>
      </c>
      <c r="O102">
        <v>6045</v>
      </c>
    </row>
    <row r="103" spans="1:15" x14ac:dyDescent="0.25">
      <c r="A103" s="2">
        <v>44692</v>
      </c>
      <c r="B103" t="s">
        <v>18</v>
      </c>
      <c r="C103">
        <v>887246</v>
      </c>
      <c r="D103" s="2">
        <v>44692.46597222222</v>
      </c>
      <c r="E103" t="s">
        <v>72</v>
      </c>
      <c r="F103" t="s">
        <v>183</v>
      </c>
      <c r="G103">
        <v>350719</v>
      </c>
      <c r="H103">
        <v>45.36</v>
      </c>
      <c r="I103">
        <v>0</v>
      </c>
      <c r="J103" t="s">
        <v>187</v>
      </c>
      <c r="K103">
        <v>45.36</v>
      </c>
      <c r="L103">
        <v>-635.20000000000005</v>
      </c>
      <c r="N103">
        <v>1</v>
      </c>
      <c r="O103">
        <v>6045</v>
      </c>
    </row>
    <row r="104" spans="1:15" x14ac:dyDescent="0.25">
      <c r="A104" s="2">
        <v>44692</v>
      </c>
      <c r="B104" t="s">
        <v>18</v>
      </c>
      <c r="C104">
        <v>887256</v>
      </c>
      <c r="D104" s="2">
        <v>44692.469444444447</v>
      </c>
      <c r="E104" t="s">
        <v>74</v>
      </c>
      <c r="F104" t="s">
        <v>184</v>
      </c>
      <c r="G104">
        <v>264194</v>
      </c>
      <c r="H104">
        <v>635.20000000000005</v>
      </c>
      <c r="I104">
        <v>0</v>
      </c>
      <c r="J104" t="s">
        <v>188</v>
      </c>
      <c r="K104">
        <v>635.20000000000005</v>
      </c>
      <c r="L104">
        <v>0</v>
      </c>
      <c r="N104">
        <v>1</v>
      </c>
      <c r="O104">
        <v>6045</v>
      </c>
    </row>
    <row r="105" spans="1:15" x14ac:dyDescent="0.25">
      <c r="A105" s="2">
        <v>44709</v>
      </c>
      <c r="B105" t="s">
        <v>18</v>
      </c>
      <c r="C105">
        <v>890834</v>
      </c>
      <c r="D105" s="2">
        <v>44709.022222222222</v>
      </c>
      <c r="E105" t="s">
        <v>75</v>
      </c>
      <c r="F105" t="s">
        <v>183</v>
      </c>
      <c r="G105">
        <v>352933</v>
      </c>
      <c r="H105">
        <v>6</v>
      </c>
      <c r="I105">
        <v>0</v>
      </c>
      <c r="J105" t="s">
        <v>185</v>
      </c>
      <c r="K105">
        <v>6</v>
      </c>
      <c r="L105">
        <v>6</v>
      </c>
      <c r="N105">
        <v>1</v>
      </c>
      <c r="O105">
        <v>6045</v>
      </c>
    </row>
    <row r="106" spans="1:15" x14ac:dyDescent="0.25">
      <c r="A106" s="2">
        <v>44721</v>
      </c>
      <c r="B106" t="s">
        <v>18</v>
      </c>
      <c r="C106">
        <v>893060</v>
      </c>
      <c r="D106" s="2">
        <v>44721.447222222218</v>
      </c>
      <c r="E106" t="s">
        <v>76</v>
      </c>
      <c r="G106">
        <v>0</v>
      </c>
      <c r="H106">
        <v>0</v>
      </c>
      <c r="I106">
        <v>40</v>
      </c>
      <c r="J106" t="s">
        <v>186</v>
      </c>
      <c r="K106">
        <v>-40</v>
      </c>
      <c r="L106">
        <v>-34</v>
      </c>
      <c r="N106">
        <v>1</v>
      </c>
      <c r="O106">
        <v>6045</v>
      </c>
    </row>
    <row r="107" spans="1:15" x14ac:dyDescent="0.25">
      <c r="A107" s="2">
        <v>44721</v>
      </c>
      <c r="B107" t="s">
        <v>18</v>
      </c>
      <c r="C107">
        <v>893060</v>
      </c>
      <c r="D107" s="2">
        <v>44721.447222222218</v>
      </c>
      <c r="E107" t="s">
        <v>72</v>
      </c>
      <c r="F107" t="s">
        <v>183</v>
      </c>
      <c r="G107">
        <v>354374</v>
      </c>
      <c r="H107">
        <v>3.36</v>
      </c>
      <c r="I107">
        <v>0</v>
      </c>
      <c r="J107" t="s">
        <v>187</v>
      </c>
      <c r="K107">
        <v>3.36</v>
      </c>
      <c r="L107">
        <v>-30.64</v>
      </c>
      <c r="N107">
        <v>1</v>
      </c>
      <c r="O107">
        <v>6045</v>
      </c>
    </row>
    <row r="108" spans="1:15" x14ac:dyDescent="0.25">
      <c r="A108" s="2">
        <v>44721</v>
      </c>
      <c r="B108" t="s">
        <v>18</v>
      </c>
      <c r="C108">
        <v>893060</v>
      </c>
      <c r="D108" s="2">
        <v>44721.447222222218</v>
      </c>
      <c r="E108" t="s">
        <v>77</v>
      </c>
      <c r="G108">
        <v>0</v>
      </c>
      <c r="H108">
        <v>0</v>
      </c>
      <c r="I108">
        <v>80</v>
      </c>
      <c r="J108" t="s">
        <v>186</v>
      </c>
      <c r="K108">
        <v>-80</v>
      </c>
      <c r="L108">
        <v>-110.64</v>
      </c>
      <c r="N108">
        <v>1</v>
      </c>
      <c r="O108">
        <v>6045</v>
      </c>
    </row>
    <row r="109" spans="1:15" x14ac:dyDescent="0.25">
      <c r="A109" s="2">
        <v>44721</v>
      </c>
      <c r="B109" t="s">
        <v>18</v>
      </c>
      <c r="C109">
        <v>893060</v>
      </c>
      <c r="D109" s="2">
        <v>44721.447222222218</v>
      </c>
      <c r="E109" t="s">
        <v>72</v>
      </c>
      <c r="F109" t="s">
        <v>183</v>
      </c>
      <c r="G109">
        <v>354374</v>
      </c>
      <c r="H109">
        <v>6.72</v>
      </c>
      <c r="I109">
        <v>0</v>
      </c>
      <c r="J109" t="s">
        <v>187</v>
      </c>
      <c r="K109">
        <v>6.72</v>
      </c>
      <c r="L109">
        <v>-103.92</v>
      </c>
      <c r="N109">
        <v>1</v>
      </c>
      <c r="O109">
        <v>6045</v>
      </c>
    </row>
    <row r="110" spans="1:15" x14ac:dyDescent="0.25">
      <c r="A110" s="2">
        <v>44721</v>
      </c>
      <c r="B110" t="s">
        <v>18</v>
      </c>
      <c r="C110">
        <v>893060</v>
      </c>
      <c r="D110" s="2">
        <v>44721.447222222218</v>
      </c>
      <c r="E110" t="s">
        <v>78</v>
      </c>
      <c r="G110">
        <v>0</v>
      </c>
      <c r="H110">
        <v>0</v>
      </c>
      <c r="I110">
        <v>580</v>
      </c>
      <c r="J110" t="s">
        <v>186</v>
      </c>
      <c r="K110">
        <v>-580</v>
      </c>
      <c r="L110">
        <v>-683.92</v>
      </c>
      <c r="N110">
        <v>1</v>
      </c>
      <c r="O110">
        <v>6045</v>
      </c>
    </row>
    <row r="111" spans="1:15" x14ac:dyDescent="0.25">
      <c r="A111" s="2">
        <v>44721</v>
      </c>
      <c r="B111" t="s">
        <v>18</v>
      </c>
      <c r="C111">
        <v>893060</v>
      </c>
      <c r="D111" s="2">
        <v>44721.447222222218</v>
      </c>
      <c r="E111" t="s">
        <v>72</v>
      </c>
      <c r="F111" t="s">
        <v>183</v>
      </c>
      <c r="G111">
        <v>354374</v>
      </c>
      <c r="H111">
        <v>48.72</v>
      </c>
      <c r="I111">
        <v>0</v>
      </c>
      <c r="J111" t="s">
        <v>187</v>
      </c>
      <c r="K111">
        <v>48.72</v>
      </c>
      <c r="L111">
        <v>-635.20000000000005</v>
      </c>
      <c r="N111">
        <v>1</v>
      </c>
      <c r="O111">
        <v>6045</v>
      </c>
    </row>
    <row r="112" spans="1:15" x14ac:dyDescent="0.25">
      <c r="A112" s="2">
        <v>44721</v>
      </c>
      <c r="B112" t="s">
        <v>18</v>
      </c>
      <c r="C112">
        <v>893069</v>
      </c>
      <c r="D112" s="2">
        <v>44721.448611111111</v>
      </c>
      <c r="E112" t="s">
        <v>74</v>
      </c>
      <c r="F112" t="s">
        <v>184</v>
      </c>
      <c r="G112">
        <v>266863</v>
      </c>
      <c r="H112">
        <v>635.20000000000005</v>
      </c>
      <c r="I112">
        <v>0</v>
      </c>
      <c r="J112" t="s">
        <v>188</v>
      </c>
      <c r="K112">
        <v>635.20000000000005</v>
      </c>
      <c r="L112">
        <v>0</v>
      </c>
      <c r="N112">
        <v>1</v>
      </c>
      <c r="O112">
        <v>6045</v>
      </c>
    </row>
    <row r="113" spans="1:15" x14ac:dyDescent="0.25">
      <c r="A113" s="2">
        <v>44740</v>
      </c>
      <c r="B113" t="s">
        <v>18</v>
      </c>
      <c r="C113">
        <v>896912</v>
      </c>
      <c r="D113" s="2">
        <v>44740.022222222222</v>
      </c>
      <c r="E113" t="s">
        <v>75</v>
      </c>
      <c r="F113" t="s">
        <v>183</v>
      </c>
      <c r="G113">
        <v>356720</v>
      </c>
      <c r="H113">
        <v>6</v>
      </c>
      <c r="I113">
        <v>0</v>
      </c>
      <c r="J113" t="s">
        <v>185</v>
      </c>
      <c r="K113">
        <v>6</v>
      </c>
      <c r="L113">
        <v>6</v>
      </c>
      <c r="N113">
        <v>1</v>
      </c>
      <c r="O113">
        <v>6045</v>
      </c>
    </row>
    <row r="114" spans="1:15" x14ac:dyDescent="0.25">
      <c r="A114" s="2">
        <v>44753</v>
      </c>
      <c r="B114" t="s">
        <v>18</v>
      </c>
      <c r="C114">
        <v>899710</v>
      </c>
      <c r="D114" s="2">
        <v>44753.506249999999</v>
      </c>
      <c r="E114" t="s">
        <v>79</v>
      </c>
      <c r="G114">
        <v>0</v>
      </c>
      <c r="H114">
        <v>0</v>
      </c>
      <c r="I114">
        <v>200</v>
      </c>
      <c r="J114" t="s">
        <v>186</v>
      </c>
      <c r="K114">
        <v>-200</v>
      </c>
      <c r="L114">
        <v>-194</v>
      </c>
      <c r="N114">
        <v>1</v>
      </c>
      <c r="O114">
        <v>6045</v>
      </c>
    </row>
    <row r="115" spans="1:15" x14ac:dyDescent="0.25">
      <c r="A115" s="2">
        <v>44753</v>
      </c>
      <c r="B115" t="s">
        <v>18</v>
      </c>
      <c r="C115">
        <v>899710</v>
      </c>
      <c r="D115" s="2">
        <v>44753.506249999999</v>
      </c>
      <c r="E115" t="s">
        <v>72</v>
      </c>
      <c r="F115" t="s">
        <v>183</v>
      </c>
      <c r="G115">
        <v>358460</v>
      </c>
      <c r="H115">
        <v>16.8</v>
      </c>
      <c r="I115">
        <v>0</v>
      </c>
      <c r="J115" t="s">
        <v>187</v>
      </c>
      <c r="K115">
        <v>16.8</v>
      </c>
      <c r="L115">
        <v>-177.2</v>
      </c>
      <c r="N115">
        <v>1</v>
      </c>
      <c r="O115">
        <v>6045</v>
      </c>
    </row>
    <row r="116" spans="1:15" x14ac:dyDescent="0.25">
      <c r="A116" s="2">
        <v>44753</v>
      </c>
      <c r="B116" t="s">
        <v>18</v>
      </c>
      <c r="C116">
        <v>899710</v>
      </c>
      <c r="D116" s="2">
        <v>44753.506249999999</v>
      </c>
      <c r="E116" t="s">
        <v>77</v>
      </c>
      <c r="G116">
        <v>0</v>
      </c>
      <c r="H116">
        <v>0</v>
      </c>
      <c r="I116">
        <v>500</v>
      </c>
      <c r="J116" t="s">
        <v>186</v>
      </c>
      <c r="K116">
        <v>-500</v>
      </c>
      <c r="L116">
        <v>-677.2</v>
      </c>
      <c r="N116">
        <v>1</v>
      </c>
      <c r="O116">
        <v>6045</v>
      </c>
    </row>
    <row r="117" spans="1:15" x14ac:dyDescent="0.25">
      <c r="A117" s="2">
        <v>44753</v>
      </c>
      <c r="B117" t="s">
        <v>18</v>
      </c>
      <c r="C117">
        <v>899710</v>
      </c>
      <c r="D117" s="2">
        <v>44753.506249999999</v>
      </c>
      <c r="E117" t="s">
        <v>72</v>
      </c>
      <c r="F117" t="s">
        <v>183</v>
      </c>
      <c r="G117">
        <v>358460</v>
      </c>
      <c r="H117">
        <v>42</v>
      </c>
      <c r="I117">
        <v>0</v>
      </c>
      <c r="J117" t="s">
        <v>187</v>
      </c>
      <c r="K117">
        <v>42</v>
      </c>
      <c r="L117">
        <v>-635.20000000000005</v>
      </c>
      <c r="N117">
        <v>1</v>
      </c>
      <c r="O117">
        <v>6045</v>
      </c>
    </row>
    <row r="118" spans="1:15" x14ac:dyDescent="0.25">
      <c r="A118" s="2">
        <v>44753</v>
      </c>
      <c r="B118" t="s">
        <v>18</v>
      </c>
      <c r="C118">
        <v>899725</v>
      </c>
      <c r="D118" s="2">
        <v>44753.511805555558</v>
      </c>
      <c r="E118" t="s">
        <v>74</v>
      </c>
      <c r="F118" t="s">
        <v>184</v>
      </c>
      <c r="G118">
        <v>269732</v>
      </c>
      <c r="H118">
        <v>635.20000000000005</v>
      </c>
      <c r="I118">
        <v>0</v>
      </c>
      <c r="J118" t="s">
        <v>188</v>
      </c>
      <c r="K118">
        <v>635.20000000000005</v>
      </c>
      <c r="L118">
        <v>0</v>
      </c>
      <c r="N118">
        <v>1</v>
      </c>
      <c r="O118">
        <v>6045</v>
      </c>
    </row>
    <row r="119" spans="1:15" x14ac:dyDescent="0.25">
      <c r="A119" s="2">
        <v>44770</v>
      </c>
      <c r="B119" t="s">
        <v>18</v>
      </c>
      <c r="C119">
        <v>903686</v>
      </c>
      <c r="D119" s="2">
        <v>44770.022222222222</v>
      </c>
      <c r="E119" t="s">
        <v>75</v>
      </c>
      <c r="F119" t="s">
        <v>183</v>
      </c>
      <c r="G119">
        <v>360763</v>
      </c>
      <c r="H119">
        <v>6</v>
      </c>
      <c r="I119">
        <v>0</v>
      </c>
      <c r="J119" t="s">
        <v>185</v>
      </c>
      <c r="K119">
        <v>6</v>
      </c>
      <c r="L119">
        <v>6</v>
      </c>
      <c r="N119">
        <v>0</v>
      </c>
      <c r="O119">
        <v>6045</v>
      </c>
    </row>
    <row r="120" spans="1:15" x14ac:dyDescent="0.25">
      <c r="A120" s="2">
        <v>44658</v>
      </c>
      <c r="B120" t="s">
        <v>19</v>
      </c>
      <c r="C120">
        <v>880052</v>
      </c>
      <c r="D120" s="2">
        <v>44658.509027777778</v>
      </c>
      <c r="E120" t="s">
        <v>80</v>
      </c>
      <c r="G120">
        <v>0</v>
      </c>
      <c r="H120">
        <v>0</v>
      </c>
      <c r="I120">
        <v>155.31</v>
      </c>
      <c r="J120" t="s">
        <v>186</v>
      </c>
      <c r="K120">
        <v>-155.31</v>
      </c>
      <c r="L120">
        <v>-155.31</v>
      </c>
      <c r="N120">
        <v>1</v>
      </c>
      <c r="O120">
        <v>3072</v>
      </c>
    </row>
    <row r="121" spans="1:15" x14ac:dyDescent="0.25">
      <c r="A121" s="2">
        <v>44658</v>
      </c>
      <c r="B121" t="s">
        <v>19</v>
      </c>
      <c r="C121">
        <v>880052</v>
      </c>
      <c r="D121" s="2">
        <v>44658.509027777778</v>
      </c>
      <c r="E121" t="s">
        <v>81</v>
      </c>
      <c r="F121" t="s">
        <v>183</v>
      </c>
      <c r="G121">
        <v>346263</v>
      </c>
      <c r="H121">
        <v>13.04</v>
      </c>
      <c r="I121">
        <v>0</v>
      </c>
      <c r="J121" t="s">
        <v>187</v>
      </c>
      <c r="K121">
        <v>13.04</v>
      </c>
      <c r="L121">
        <v>-142.27000000000001</v>
      </c>
      <c r="N121">
        <v>1</v>
      </c>
      <c r="O121">
        <v>3072</v>
      </c>
    </row>
    <row r="122" spans="1:15" x14ac:dyDescent="0.25">
      <c r="A122" s="2">
        <v>44658</v>
      </c>
      <c r="B122" t="s">
        <v>19</v>
      </c>
      <c r="C122">
        <v>880097</v>
      </c>
      <c r="D122" s="2">
        <v>44658.547222222223</v>
      </c>
      <c r="E122" t="s">
        <v>82</v>
      </c>
      <c r="F122" t="s">
        <v>184</v>
      </c>
      <c r="G122">
        <v>261178</v>
      </c>
      <c r="H122">
        <v>136.27000000000001</v>
      </c>
      <c r="I122">
        <v>0</v>
      </c>
      <c r="J122" t="s">
        <v>188</v>
      </c>
      <c r="K122">
        <v>136.27000000000001</v>
      </c>
      <c r="L122">
        <v>-6</v>
      </c>
      <c r="N122">
        <v>1</v>
      </c>
      <c r="O122">
        <v>3072</v>
      </c>
    </row>
    <row r="123" spans="1:15" x14ac:dyDescent="0.25">
      <c r="A123" s="2">
        <v>44671</v>
      </c>
      <c r="B123" t="s">
        <v>19</v>
      </c>
      <c r="C123">
        <v>882353</v>
      </c>
      <c r="D123" s="2">
        <v>44671.53402777778</v>
      </c>
      <c r="E123" t="s">
        <v>83</v>
      </c>
      <c r="G123">
        <v>0</v>
      </c>
      <c r="H123">
        <v>0</v>
      </c>
      <c r="I123">
        <v>310.85000000000002</v>
      </c>
      <c r="J123" t="s">
        <v>186</v>
      </c>
      <c r="K123">
        <v>-310.85000000000002</v>
      </c>
      <c r="L123">
        <v>-310.85000000000002</v>
      </c>
      <c r="N123">
        <v>1</v>
      </c>
      <c r="O123">
        <v>3072</v>
      </c>
    </row>
    <row r="124" spans="1:15" x14ac:dyDescent="0.25">
      <c r="A124" s="2">
        <v>44671</v>
      </c>
      <c r="B124" t="s">
        <v>19</v>
      </c>
      <c r="C124">
        <v>882353</v>
      </c>
      <c r="D124" s="2">
        <v>44671.53402777778</v>
      </c>
      <c r="E124" t="s">
        <v>81</v>
      </c>
      <c r="F124" t="s">
        <v>183</v>
      </c>
      <c r="G124">
        <v>347616</v>
      </c>
      <c r="H124">
        <v>26.11</v>
      </c>
      <c r="I124">
        <v>0</v>
      </c>
      <c r="J124" t="s">
        <v>187</v>
      </c>
      <c r="K124">
        <v>26.11</v>
      </c>
      <c r="L124">
        <v>-284.74</v>
      </c>
      <c r="N124">
        <v>1</v>
      </c>
      <c r="O124">
        <v>3072</v>
      </c>
    </row>
    <row r="125" spans="1:15" x14ac:dyDescent="0.25">
      <c r="A125" s="2">
        <v>44671</v>
      </c>
      <c r="B125" t="s">
        <v>19</v>
      </c>
      <c r="C125">
        <v>882382</v>
      </c>
      <c r="D125" s="2">
        <v>44671.535416666673</v>
      </c>
      <c r="E125" t="s">
        <v>82</v>
      </c>
      <c r="F125" t="s">
        <v>184</v>
      </c>
      <c r="G125">
        <v>262277</v>
      </c>
      <c r="H125">
        <v>284.74</v>
      </c>
      <c r="I125">
        <v>0</v>
      </c>
      <c r="J125" t="s">
        <v>188</v>
      </c>
      <c r="K125">
        <v>284.74</v>
      </c>
      <c r="L125">
        <v>0</v>
      </c>
      <c r="N125">
        <v>1</v>
      </c>
      <c r="O125">
        <v>3072</v>
      </c>
    </row>
    <row r="126" spans="1:15" x14ac:dyDescent="0.25">
      <c r="A126" s="2">
        <v>44679</v>
      </c>
      <c r="B126" t="s">
        <v>19</v>
      </c>
      <c r="C126">
        <v>884442</v>
      </c>
      <c r="D126" s="2">
        <v>44679.022222222222</v>
      </c>
      <c r="E126" t="s">
        <v>84</v>
      </c>
      <c r="F126" t="s">
        <v>183</v>
      </c>
      <c r="G126">
        <v>348884</v>
      </c>
      <c r="H126">
        <v>6</v>
      </c>
      <c r="I126">
        <v>0</v>
      </c>
      <c r="J126" t="s">
        <v>185</v>
      </c>
      <c r="K126">
        <v>6</v>
      </c>
      <c r="L126">
        <v>6</v>
      </c>
      <c r="N126">
        <v>1</v>
      </c>
      <c r="O126">
        <v>3072</v>
      </c>
    </row>
    <row r="127" spans="1:15" x14ac:dyDescent="0.25">
      <c r="A127" s="2">
        <v>44691</v>
      </c>
      <c r="B127" t="s">
        <v>19</v>
      </c>
      <c r="C127">
        <v>886925</v>
      </c>
      <c r="D127" s="2">
        <v>44691.475694444453</v>
      </c>
      <c r="E127" t="s">
        <v>83</v>
      </c>
      <c r="G127">
        <v>0</v>
      </c>
      <c r="H127">
        <v>0</v>
      </c>
      <c r="I127">
        <v>194.15</v>
      </c>
      <c r="J127" t="s">
        <v>186</v>
      </c>
      <c r="K127">
        <v>-194.15</v>
      </c>
      <c r="L127">
        <v>-188.15</v>
      </c>
      <c r="N127">
        <v>1</v>
      </c>
      <c r="O127">
        <v>3072</v>
      </c>
    </row>
    <row r="128" spans="1:15" x14ac:dyDescent="0.25">
      <c r="A128" s="2">
        <v>44691</v>
      </c>
      <c r="B128" t="s">
        <v>19</v>
      </c>
      <c r="C128">
        <v>886925</v>
      </c>
      <c r="D128" s="2">
        <v>44691.475694444453</v>
      </c>
      <c r="E128" t="s">
        <v>81</v>
      </c>
      <c r="F128" t="s">
        <v>183</v>
      </c>
      <c r="G128">
        <v>350574</v>
      </c>
      <c r="H128">
        <v>16.309999999999999</v>
      </c>
      <c r="I128">
        <v>0</v>
      </c>
      <c r="J128" t="s">
        <v>187</v>
      </c>
      <c r="K128">
        <v>16.309999999999999</v>
      </c>
      <c r="L128">
        <v>-171.84</v>
      </c>
      <c r="N128">
        <v>1</v>
      </c>
      <c r="O128">
        <v>3072</v>
      </c>
    </row>
    <row r="129" spans="1:15" x14ac:dyDescent="0.25">
      <c r="A129" s="2">
        <v>44691</v>
      </c>
      <c r="B129" t="s">
        <v>19</v>
      </c>
      <c r="C129">
        <v>886961</v>
      </c>
      <c r="D129" s="2">
        <v>44691.477777777778</v>
      </c>
      <c r="E129" t="s">
        <v>82</v>
      </c>
      <c r="F129" t="s">
        <v>184</v>
      </c>
      <c r="G129">
        <v>264088</v>
      </c>
      <c r="H129">
        <v>171.84</v>
      </c>
      <c r="I129">
        <v>0</v>
      </c>
      <c r="J129" t="s">
        <v>188</v>
      </c>
      <c r="K129">
        <v>171.84</v>
      </c>
      <c r="L129">
        <v>0</v>
      </c>
      <c r="N129">
        <v>1</v>
      </c>
      <c r="O129">
        <v>3072</v>
      </c>
    </row>
    <row r="130" spans="1:15" x14ac:dyDescent="0.25">
      <c r="A130" s="2">
        <v>44700</v>
      </c>
      <c r="B130" t="s">
        <v>19</v>
      </c>
      <c r="C130">
        <v>889247</v>
      </c>
      <c r="D130" s="2">
        <v>44700.409722222219</v>
      </c>
      <c r="E130" t="s">
        <v>85</v>
      </c>
      <c r="G130">
        <v>0</v>
      </c>
      <c r="H130">
        <v>0</v>
      </c>
      <c r="I130">
        <v>272.01</v>
      </c>
      <c r="J130" t="s">
        <v>186</v>
      </c>
      <c r="K130">
        <v>-272.01</v>
      </c>
      <c r="L130">
        <v>-272.01</v>
      </c>
      <c r="N130">
        <v>1</v>
      </c>
      <c r="O130">
        <v>3072</v>
      </c>
    </row>
    <row r="131" spans="1:15" x14ac:dyDescent="0.25">
      <c r="A131" s="2">
        <v>44700</v>
      </c>
      <c r="B131" t="s">
        <v>19</v>
      </c>
      <c r="C131">
        <v>889247</v>
      </c>
      <c r="D131" s="2">
        <v>44700.409722222219</v>
      </c>
      <c r="E131" t="s">
        <v>81</v>
      </c>
      <c r="F131" t="s">
        <v>183</v>
      </c>
      <c r="G131">
        <v>351624</v>
      </c>
      <c r="H131">
        <v>22.85</v>
      </c>
      <c r="I131">
        <v>0</v>
      </c>
      <c r="J131" t="s">
        <v>187</v>
      </c>
      <c r="K131">
        <v>22.85</v>
      </c>
      <c r="L131">
        <v>-249.16</v>
      </c>
      <c r="N131">
        <v>1</v>
      </c>
      <c r="O131">
        <v>3072</v>
      </c>
    </row>
    <row r="132" spans="1:15" x14ac:dyDescent="0.25">
      <c r="A132" s="2">
        <v>44700</v>
      </c>
      <c r="B132" t="s">
        <v>19</v>
      </c>
      <c r="C132">
        <v>889252</v>
      </c>
      <c r="D132" s="2">
        <v>44700.413194444453</v>
      </c>
      <c r="E132" t="s">
        <v>82</v>
      </c>
      <c r="F132" t="s">
        <v>184</v>
      </c>
      <c r="G132">
        <v>265221</v>
      </c>
      <c r="H132">
        <v>249.16</v>
      </c>
      <c r="I132">
        <v>0</v>
      </c>
      <c r="J132" t="s">
        <v>188</v>
      </c>
      <c r="K132">
        <v>249.16</v>
      </c>
      <c r="L132">
        <v>0</v>
      </c>
      <c r="N132">
        <v>1</v>
      </c>
      <c r="O132">
        <v>3072</v>
      </c>
    </row>
    <row r="133" spans="1:15" x14ac:dyDescent="0.25">
      <c r="A133" s="2">
        <v>44709</v>
      </c>
      <c r="B133" t="s">
        <v>19</v>
      </c>
      <c r="C133">
        <v>890834</v>
      </c>
      <c r="D133" s="2">
        <v>44709.022222222222</v>
      </c>
      <c r="E133" t="s">
        <v>84</v>
      </c>
      <c r="F133" t="s">
        <v>183</v>
      </c>
      <c r="G133">
        <v>352914</v>
      </c>
      <c r="H133">
        <v>6</v>
      </c>
      <c r="I133">
        <v>0</v>
      </c>
      <c r="J133" t="s">
        <v>185</v>
      </c>
      <c r="K133">
        <v>6</v>
      </c>
      <c r="L133">
        <v>6</v>
      </c>
      <c r="N133">
        <v>1</v>
      </c>
      <c r="O133">
        <v>3072</v>
      </c>
    </row>
    <row r="134" spans="1:15" x14ac:dyDescent="0.25">
      <c r="A134" s="2">
        <v>44713</v>
      </c>
      <c r="B134" t="s">
        <v>19</v>
      </c>
      <c r="C134">
        <v>891709</v>
      </c>
      <c r="D134" s="2">
        <v>44713.456944444442</v>
      </c>
      <c r="E134" t="s">
        <v>85</v>
      </c>
      <c r="G134">
        <v>0</v>
      </c>
      <c r="H134">
        <v>0</v>
      </c>
      <c r="I134">
        <v>232.99</v>
      </c>
      <c r="J134" t="s">
        <v>186</v>
      </c>
      <c r="K134">
        <v>-232.99</v>
      </c>
      <c r="L134">
        <v>-226.99</v>
      </c>
      <c r="N134">
        <v>1</v>
      </c>
      <c r="O134">
        <v>3072</v>
      </c>
    </row>
    <row r="135" spans="1:15" x14ac:dyDescent="0.25">
      <c r="A135" s="2">
        <v>44713</v>
      </c>
      <c r="B135" t="s">
        <v>19</v>
      </c>
      <c r="C135">
        <v>891709</v>
      </c>
      <c r="D135" s="2">
        <v>44713.456944444442</v>
      </c>
      <c r="E135" t="s">
        <v>81</v>
      </c>
      <c r="F135" t="s">
        <v>183</v>
      </c>
      <c r="G135">
        <v>353519</v>
      </c>
      <c r="H135">
        <v>19.57</v>
      </c>
      <c r="I135">
        <v>0</v>
      </c>
      <c r="J135" t="s">
        <v>187</v>
      </c>
      <c r="K135">
        <v>19.57</v>
      </c>
      <c r="L135">
        <v>-207.42</v>
      </c>
      <c r="N135">
        <v>1</v>
      </c>
      <c r="O135">
        <v>3072</v>
      </c>
    </row>
    <row r="136" spans="1:15" x14ac:dyDescent="0.25">
      <c r="A136" s="2">
        <v>44713</v>
      </c>
      <c r="B136" t="s">
        <v>19</v>
      </c>
      <c r="C136">
        <v>891743</v>
      </c>
      <c r="D136" s="2">
        <v>44713.459027777782</v>
      </c>
      <c r="E136" t="s">
        <v>82</v>
      </c>
      <c r="F136" t="s">
        <v>184</v>
      </c>
      <c r="G136">
        <v>266243</v>
      </c>
      <c r="H136">
        <v>207.42</v>
      </c>
      <c r="I136">
        <v>0</v>
      </c>
      <c r="J136" t="s">
        <v>188</v>
      </c>
      <c r="K136">
        <v>207.42</v>
      </c>
      <c r="L136">
        <v>0</v>
      </c>
      <c r="N136">
        <v>1</v>
      </c>
      <c r="O136">
        <v>3072</v>
      </c>
    </row>
    <row r="137" spans="1:15" x14ac:dyDescent="0.25">
      <c r="A137" s="2">
        <v>44733</v>
      </c>
      <c r="B137" t="s">
        <v>19</v>
      </c>
      <c r="C137">
        <v>895543</v>
      </c>
      <c r="D137" s="2">
        <v>44733.429166666669</v>
      </c>
      <c r="E137" t="s">
        <v>86</v>
      </c>
      <c r="G137">
        <v>0</v>
      </c>
      <c r="H137">
        <v>0</v>
      </c>
      <c r="I137">
        <v>233.17</v>
      </c>
      <c r="J137" t="s">
        <v>186</v>
      </c>
      <c r="K137">
        <v>-233.17</v>
      </c>
      <c r="L137">
        <v>-233.17</v>
      </c>
      <c r="N137">
        <v>1</v>
      </c>
      <c r="O137">
        <v>3072</v>
      </c>
    </row>
    <row r="138" spans="1:15" x14ac:dyDescent="0.25">
      <c r="A138" s="2">
        <v>44733</v>
      </c>
      <c r="B138" t="s">
        <v>19</v>
      </c>
      <c r="C138">
        <v>895543</v>
      </c>
      <c r="D138" s="2">
        <v>44733.429166666669</v>
      </c>
      <c r="E138" t="s">
        <v>81</v>
      </c>
      <c r="F138" t="s">
        <v>183</v>
      </c>
      <c r="G138">
        <v>355621</v>
      </c>
      <c r="H138">
        <v>19.579999999999998</v>
      </c>
      <c r="I138">
        <v>0</v>
      </c>
      <c r="J138" t="s">
        <v>187</v>
      </c>
      <c r="K138">
        <v>19.579999999999998</v>
      </c>
      <c r="L138">
        <v>-213.59</v>
      </c>
      <c r="N138">
        <v>1</v>
      </c>
      <c r="O138">
        <v>3072</v>
      </c>
    </row>
    <row r="139" spans="1:15" x14ac:dyDescent="0.25">
      <c r="A139" s="2">
        <v>44733</v>
      </c>
      <c r="B139" t="s">
        <v>19</v>
      </c>
      <c r="C139">
        <v>895556</v>
      </c>
      <c r="D139" s="2">
        <v>44733.431944444441</v>
      </c>
      <c r="E139" t="s">
        <v>82</v>
      </c>
      <c r="F139" t="s">
        <v>184</v>
      </c>
      <c r="G139">
        <v>268078</v>
      </c>
      <c r="H139">
        <v>213.59</v>
      </c>
      <c r="I139">
        <v>0</v>
      </c>
      <c r="J139" t="s">
        <v>188</v>
      </c>
      <c r="K139">
        <v>213.59</v>
      </c>
      <c r="L139">
        <v>0</v>
      </c>
      <c r="N139">
        <v>1</v>
      </c>
      <c r="O139">
        <v>3072</v>
      </c>
    </row>
    <row r="140" spans="1:15" x14ac:dyDescent="0.25">
      <c r="A140" s="2">
        <v>44740</v>
      </c>
      <c r="B140" t="s">
        <v>19</v>
      </c>
      <c r="C140">
        <v>896912</v>
      </c>
      <c r="D140" s="2">
        <v>44740.022222222222</v>
      </c>
      <c r="E140" t="s">
        <v>84</v>
      </c>
      <c r="F140" t="s">
        <v>183</v>
      </c>
      <c r="G140">
        <v>356703</v>
      </c>
      <c r="H140">
        <v>6</v>
      </c>
      <c r="I140">
        <v>0</v>
      </c>
      <c r="J140" t="s">
        <v>185</v>
      </c>
      <c r="K140">
        <v>6</v>
      </c>
      <c r="L140">
        <v>6</v>
      </c>
      <c r="N140">
        <v>1</v>
      </c>
      <c r="O140">
        <v>3072</v>
      </c>
    </row>
    <row r="141" spans="1:15" x14ac:dyDescent="0.25">
      <c r="A141" s="2">
        <v>44740</v>
      </c>
      <c r="B141" t="s">
        <v>19</v>
      </c>
      <c r="C141">
        <v>897179</v>
      </c>
      <c r="D141" s="2">
        <v>44740.519444444442</v>
      </c>
      <c r="E141" t="s">
        <v>86</v>
      </c>
      <c r="G141">
        <v>0</v>
      </c>
      <c r="H141">
        <v>0</v>
      </c>
      <c r="I141">
        <v>271.83</v>
      </c>
      <c r="J141" t="s">
        <v>186</v>
      </c>
      <c r="K141">
        <v>-271.83</v>
      </c>
      <c r="L141">
        <v>-265.83</v>
      </c>
      <c r="N141">
        <v>1</v>
      </c>
      <c r="O141">
        <v>3072</v>
      </c>
    </row>
    <row r="142" spans="1:15" x14ac:dyDescent="0.25">
      <c r="A142" s="2">
        <v>44740</v>
      </c>
      <c r="B142" t="s">
        <v>19</v>
      </c>
      <c r="C142">
        <v>897179</v>
      </c>
      <c r="D142" s="2">
        <v>44740.519444444442</v>
      </c>
      <c r="E142" t="s">
        <v>81</v>
      </c>
      <c r="F142" t="s">
        <v>183</v>
      </c>
      <c r="G142">
        <v>357017</v>
      </c>
      <c r="H142">
        <v>22.84</v>
      </c>
      <c r="I142">
        <v>0</v>
      </c>
      <c r="J142" t="s">
        <v>187</v>
      </c>
      <c r="K142">
        <v>22.84</v>
      </c>
      <c r="L142">
        <v>-242.99</v>
      </c>
      <c r="N142">
        <v>1</v>
      </c>
      <c r="O142">
        <v>3072</v>
      </c>
    </row>
    <row r="143" spans="1:15" x14ac:dyDescent="0.25">
      <c r="A143" s="2">
        <v>44740</v>
      </c>
      <c r="B143" t="s">
        <v>19</v>
      </c>
      <c r="C143">
        <v>897206</v>
      </c>
      <c r="D143" s="2">
        <v>44740.520138888889</v>
      </c>
      <c r="E143" t="s">
        <v>82</v>
      </c>
      <c r="F143" t="s">
        <v>184</v>
      </c>
      <c r="G143">
        <v>268737</v>
      </c>
      <c r="H143">
        <v>242.99</v>
      </c>
      <c r="I143">
        <v>0</v>
      </c>
      <c r="J143" t="s">
        <v>188</v>
      </c>
      <c r="K143">
        <v>242.99</v>
      </c>
      <c r="L143">
        <v>0</v>
      </c>
      <c r="N143">
        <v>1</v>
      </c>
      <c r="O143">
        <v>3072</v>
      </c>
    </row>
    <row r="144" spans="1:15" x14ac:dyDescent="0.25">
      <c r="A144" s="2">
        <v>44761</v>
      </c>
      <c r="B144" t="s">
        <v>19</v>
      </c>
      <c r="C144">
        <v>901776</v>
      </c>
      <c r="D144" s="2">
        <v>44761.436805555553</v>
      </c>
      <c r="E144" t="s">
        <v>87</v>
      </c>
      <c r="G144">
        <v>0</v>
      </c>
      <c r="H144">
        <v>0</v>
      </c>
      <c r="I144">
        <v>194.33</v>
      </c>
      <c r="J144" t="s">
        <v>186</v>
      </c>
      <c r="K144">
        <v>-194.33</v>
      </c>
      <c r="L144">
        <v>-194.33</v>
      </c>
      <c r="N144">
        <v>1</v>
      </c>
      <c r="O144">
        <v>3072</v>
      </c>
    </row>
    <row r="145" spans="1:15" x14ac:dyDescent="0.25">
      <c r="A145" s="2">
        <v>44761</v>
      </c>
      <c r="B145" t="s">
        <v>19</v>
      </c>
      <c r="C145">
        <v>901776</v>
      </c>
      <c r="D145" s="2">
        <v>44761.436805555553</v>
      </c>
      <c r="E145" t="s">
        <v>81</v>
      </c>
      <c r="F145" t="s">
        <v>183</v>
      </c>
      <c r="G145">
        <v>359420</v>
      </c>
      <c r="H145">
        <v>16.32</v>
      </c>
      <c r="I145">
        <v>0</v>
      </c>
      <c r="J145" t="s">
        <v>187</v>
      </c>
      <c r="K145">
        <v>16.32</v>
      </c>
      <c r="L145">
        <v>-178.01</v>
      </c>
      <c r="N145">
        <v>1</v>
      </c>
      <c r="O145">
        <v>3072</v>
      </c>
    </row>
    <row r="146" spans="1:15" x14ac:dyDescent="0.25">
      <c r="A146" s="2">
        <v>44761</v>
      </c>
      <c r="B146" t="s">
        <v>19</v>
      </c>
      <c r="C146">
        <v>901794</v>
      </c>
      <c r="D146" s="2">
        <v>44761.44027777778</v>
      </c>
      <c r="E146" t="s">
        <v>82</v>
      </c>
      <c r="F146" t="s">
        <v>184</v>
      </c>
      <c r="G146">
        <v>270801</v>
      </c>
      <c r="H146">
        <v>178.01</v>
      </c>
      <c r="I146">
        <v>0</v>
      </c>
      <c r="J146" t="s">
        <v>188</v>
      </c>
      <c r="K146">
        <v>178.01</v>
      </c>
      <c r="L146">
        <v>0</v>
      </c>
      <c r="N146">
        <v>1</v>
      </c>
      <c r="O146">
        <v>3072</v>
      </c>
    </row>
    <row r="147" spans="1:15" x14ac:dyDescent="0.25">
      <c r="A147" s="2">
        <v>44768</v>
      </c>
      <c r="B147" t="s">
        <v>19</v>
      </c>
      <c r="C147">
        <v>903370</v>
      </c>
      <c r="D147" s="2">
        <v>44768.462500000001</v>
      </c>
      <c r="E147" t="s">
        <v>87</v>
      </c>
      <c r="G147">
        <v>0</v>
      </c>
      <c r="H147">
        <v>0</v>
      </c>
      <c r="I147">
        <v>310.67</v>
      </c>
      <c r="J147" t="s">
        <v>186</v>
      </c>
      <c r="K147">
        <v>-310.67</v>
      </c>
      <c r="L147">
        <v>-310.67</v>
      </c>
      <c r="N147">
        <v>1</v>
      </c>
      <c r="O147">
        <v>3072</v>
      </c>
    </row>
    <row r="148" spans="1:15" x14ac:dyDescent="0.25">
      <c r="A148" s="2">
        <v>44768</v>
      </c>
      <c r="B148" t="s">
        <v>19</v>
      </c>
      <c r="C148">
        <v>903370</v>
      </c>
      <c r="D148" s="2">
        <v>44768.462500000001</v>
      </c>
      <c r="E148" t="s">
        <v>81</v>
      </c>
      <c r="F148" t="s">
        <v>183</v>
      </c>
      <c r="G148">
        <v>359961</v>
      </c>
      <c r="H148">
        <v>26.1</v>
      </c>
      <c r="I148">
        <v>0</v>
      </c>
      <c r="J148" t="s">
        <v>187</v>
      </c>
      <c r="K148">
        <v>26.1</v>
      </c>
      <c r="L148">
        <v>-284.57</v>
      </c>
      <c r="N148">
        <v>1</v>
      </c>
      <c r="O148">
        <v>3072</v>
      </c>
    </row>
    <row r="149" spans="1:15" x14ac:dyDescent="0.25">
      <c r="A149" s="2">
        <v>44768</v>
      </c>
      <c r="B149" t="s">
        <v>19</v>
      </c>
      <c r="C149">
        <v>903398</v>
      </c>
      <c r="D149" s="2">
        <v>44768.463888888888</v>
      </c>
      <c r="E149" t="s">
        <v>82</v>
      </c>
      <c r="F149" t="s">
        <v>184</v>
      </c>
      <c r="G149">
        <v>271504</v>
      </c>
      <c r="H149">
        <v>284.57</v>
      </c>
      <c r="I149">
        <v>0</v>
      </c>
      <c r="J149" t="s">
        <v>188</v>
      </c>
      <c r="K149">
        <v>284.57</v>
      </c>
      <c r="L149">
        <v>0</v>
      </c>
      <c r="N149">
        <v>1</v>
      </c>
      <c r="O149">
        <v>3072</v>
      </c>
    </row>
    <row r="150" spans="1:15" x14ac:dyDescent="0.25">
      <c r="A150" s="2">
        <v>44770</v>
      </c>
      <c r="B150" t="s">
        <v>19</v>
      </c>
      <c r="C150">
        <v>903686</v>
      </c>
      <c r="D150" s="2">
        <v>44770.022222222222</v>
      </c>
      <c r="E150" t="s">
        <v>84</v>
      </c>
      <c r="F150" t="s">
        <v>183</v>
      </c>
      <c r="G150">
        <v>360747</v>
      </c>
      <c r="H150">
        <v>6</v>
      </c>
      <c r="I150">
        <v>0</v>
      </c>
      <c r="J150" t="s">
        <v>185</v>
      </c>
      <c r="K150">
        <v>6</v>
      </c>
      <c r="L150">
        <v>6</v>
      </c>
      <c r="N150">
        <v>0</v>
      </c>
      <c r="O150">
        <v>3072</v>
      </c>
    </row>
    <row r="151" spans="1:15" x14ac:dyDescent="0.25">
      <c r="A151" s="2">
        <v>44677</v>
      </c>
      <c r="B151" t="s">
        <v>20</v>
      </c>
      <c r="C151">
        <v>884186</v>
      </c>
      <c r="D151" s="2">
        <v>44677.451388888891</v>
      </c>
      <c r="E151" t="s">
        <v>88</v>
      </c>
      <c r="G151">
        <v>0</v>
      </c>
      <c r="H151">
        <v>0</v>
      </c>
      <c r="I151">
        <v>500</v>
      </c>
      <c r="J151" t="s">
        <v>186</v>
      </c>
      <c r="K151">
        <v>-500</v>
      </c>
      <c r="L151">
        <v>-500</v>
      </c>
      <c r="N151">
        <v>1</v>
      </c>
      <c r="O151">
        <v>6045</v>
      </c>
    </row>
    <row r="152" spans="1:15" x14ac:dyDescent="0.25">
      <c r="A152" s="2">
        <v>44677</v>
      </c>
      <c r="B152" t="s">
        <v>20</v>
      </c>
      <c r="C152">
        <v>884186</v>
      </c>
      <c r="D152" s="2">
        <v>44677.451388888891</v>
      </c>
      <c r="E152" t="s">
        <v>89</v>
      </c>
      <c r="F152" t="s">
        <v>183</v>
      </c>
      <c r="G152">
        <v>348064</v>
      </c>
      <c r="H152">
        <v>42</v>
      </c>
      <c r="I152">
        <v>0</v>
      </c>
      <c r="J152" t="s">
        <v>187</v>
      </c>
      <c r="K152">
        <v>42</v>
      </c>
      <c r="L152">
        <v>-458</v>
      </c>
      <c r="N152">
        <v>1</v>
      </c>
      <c r="O152">
        <v>6045</v>
      </c>
    </row>
    <row r="153" spans="1:15" x14ac:dyDescent="0.25">
      <c r="A153" s="2">
        <v>44677</v>
      </c>
      <c r="B153" t="s">
        <v>20</v>
      </c>
      <c r="C153">
        <v>884202</v>
      </c>
      <c r="D153" s="2">
        <v>44677.45208333333</v>
      </c>
      <c r="E153" t="s">
        <v>90</v>
      </c>
      <c r="F153" t="s">
        <v>184</v>
      </c>
      <c r="G153">
        <v>262990</v>
      </c>
      <c r="H153">
        <v>446</v>
      </c>
      <c r="I153">
        <v>0</v>
      </c>
      <c r="J153" t="s">
        <v>188</v>
      </c>
      <c r="K153">
        <v>446</v>
      </c>
      <c r="L153">
        <v>-12</v>
      </c>
      <c r="N153">
        <v>1</v>
      </c>
      <c r="O153">
        <v>6045</v>
      </c>
    </row>
    <row r="154" spans="1:15" x14ac:dyDescent="0.25">
      <c r="A154" s="2">
        <v>44679</v>
      </c>
      <c r="B154" t="s">
        <v>20</v>
      </c>
      <c r="C154">
        <v>884442</v>
      </c>
      <c r="D154" s="2">
        <v>44679.022222222222</v>
      </c>
      <c r="E154" t="s">
        <v>91</v>
      </c>
      <c r="F154" t="s">
        <v>183</v>
      </c>
      <c r="G154">
        <v>348957</v>
      </c>
      <c r="H154">
        <v>12</v>
      </c>
      <c r="I154">
        <v>0</v>
      </c>
      <c r="J154" t="s">
        <v>185</v>
      </c>
      <c r="K154">
        <v>12</v>
      </c>
      <c r="L154">
        <v>12</v>
      </c>
      <c r="N154">
        <v>1</v>
      </c>
      <c r="O154">
        <v>6045</v>
      </c>
    </row>
    <row r="155" spans="1:15" x14ac:dyDescent="0.25">
      <c r="A155" s="2">
        <v>44706</v>
      </c>
      <c r="B155" t="s">
        <v>20</v>
      </c>
      <c r="C155">
        <v>890416</v>
      </c>
      <c r="D155" s="2">
        <v>44706.436111111107</v>
      </c>
      <c r="E155" t="s">
        <v>92</v>
      </c>
      <c r="G155">
        <v>0</v>
      </c>
      <c r="H155">
        <v>0</v>
      </c>
      <c r="I155">
        <v>500</v>
      </c>
      <c r="J155" t="s">
        <v>186</v>
      </c>
      <c r="K155">
        <v>-500</v>
      </c>
      <c r="L155">
        <v>-488</v>
      </c>
      <c r="N155">
        <v>1</v>
      </c>
      <c r="O155">
        <v>6045</v>
      </c>
    </row>
    <row r="156" spans="1:15" x14ac:dyDescent="0.25">
      <c r="A156" s="2">
        <v>44706</v>
      </c>
      <c r="B156" t="s">
        <v>20</v>
      </c>
      <c r="C156">
        <v>890416</v>
      </c>
      <c r="D156" s="2">
        <v>44706.436111111107</v>
      </c>
      <c r="E156" t="s">
        <v>89</v>
      </c>
      <c r="F156" t="s">
        <v>183</v>
      </c>
      <c r="G156">
        <v>352016</v>
      </c>
      <c r="H156">
        <v>42</v>
      </c>
      <c r="I156">
        <v>0</v>
      </c>
      <c r="J156" t="s">
        <v>187</v>
      </c>
      <c r="K156">
        <v>42</v>
      </c>
      <c r="L156">
        <v>-446</v>
      </c>
      <c r="N156">
        <v>1</v>
      </c>
      <c r="O156">
        <v>6045</v>
      </c>
    </row>
    <row r="157" spans="1:15" x14ac:dyDescent="0.25">
      <c r="A157" s="2">
        <v>44706</v>
      </c>
      <c r="B157" t="s">
        <v>20</v>
      </c>
      <c r="C157">
        <v>890424</v>
      </c>
      <c r="D157" s="2">
        <v>44706.438194444447</v>
      </c>
      <c r="E157" t="s">
        <v>90</v>
      </c>
      <c r="F157" t="s">
        <v>184</v>
      </c>
      <c r="G157">
        <v>265780</v>
      </c>
      <c r="H157">
        <v>446</v>
      </c>
      <c r="I157">
        <v>0</v>
      </c>
      <c r="J157" t="s">
        <v>188</v>
      </c>
      <c r="K157">
        <v>446</v>
      </c>
      <c r="L157">
        <v>0</v>
      </c>
      <c r="N157">
        <v>1</v>
      </c>
      <c r="O157">
        <v>6045</v>
      </c>
    </row>
    <row r="158" spans="1:15" x14ac:dyDescent="0.25">
      <c r="A158" s="2">
        <v>44709</v>
      </c>
      <c r="B158" t="s">
        <v>20</v>
      </c>
      <c r="C158">
        <v>890834</v>
      </c>
      <c r="D158" s="2">
        <v>44709.022222222222</v>
      </c>
      <c r="E158" t="s">
        <v>91</v>
      </c>
      <c r="F158" t="s">
        <v>183</v>
      </c>
      <c r="G158">
        <v>352985</v>
      </c>
      <c r="H158">
        <v>12</v>
      </c>
      <c r="I158">
        <v>0</v>
      </c>
      <c r="J158" t="s">
        <v>185</v>
      </c>
      <c r="K158">
        <v>12</v>
      </c>
      <c r="L158">
        <v>12</v>
      </c>
      <c r="N158">
        <v>1</v>
      </c>
      <c r="O158">
        <v>6045</v>
      </c>
    </row>
    <row r="159" spans="1:15" x14ac:dyDescent="0.25">
      <c r="A159" s="2">
        <v>44737</v>
      </c>
      <c r="B159" t="s">
        <v>20</v>
      </c>
      <c r="C159">
        <v>896739</v>
      </c>
      <c r="D159" s="2">
        <v>44737.413194444453</v>
      </c>
      <c r="E159" t="s">
        <v>93</v>
      </c>
      <c r="G159">
        <v>0</v>
      </c>
      <c r="H159">
        <v>0</v>
      </c>
      <c r="I159">
        <v>500</v>
      </c>
      <c r="J159" t="s">
        <v>186</v>
      </c>
      <c r="K159">
        <v>-500</v>
      </c>
      <c r="L159">
        <v>-488</v>
      </c>
      <c r="N159">
        <v>1</v>
      </c>
      <c r="O159">
        <v>6045</v>
      </c>
    </row>
    <row r="160" spans="1:15" x14ac:dyDescent="0.25">
      <c r="A160" s="2">
        <v>44737</v>
      </c>
      <c r="B160" t="s">
        <v>20</v>
      </c>
      <c r="C160">
        <v>896739</v>
      </c>
      <c r="D160" s="2">
        <v>44737.413194444453</v>
      </c>
      <c r="E160" t="s">
        <v>89</v>
      </c>
      <c r="F160" t="s">
        <v>183</v>
      </c>
      <c r="G160">
        <v>355951</v>
      </c>
      <c r="H160">
        <v>42</v>
      </c>
      <c r="I160">
        <v>0</v>
      </c>
      <c r="J160" t="s">
        <v>187</v>
      </c>
      <c r="K160">
        <v>42</v>
      </c>
      <c r="L160">
        <v>-446</v>
      </c>
      <c r="N160">
        <v>1</v>
      </c>
      <c r="O160">
        <v>6045</v>
      </c>
    </row>
    <row r="161" spans="1:15" x14ac:dyDescent="0.25">
      <c r="A161" s="2">
        <v>44737</v>
      </c>
      <c r="B161" t="s">
        <v>20</v>
      </c>
      <c r="C161">
        <v>896746</v>
      </c>
      <c r="D161" s="2">
        <v>44737.413888888892</v>
      </c>
      <c r="E161" t="s">
        <v>90</v>
      </c>
      <c r="F161" t="s">
        <v>184</v>
      </c>
      <c r="G161">
        <v>268598</v>
      </c>
      <c r="H161">
        <v>446</v>
      </c>
      <c r="I161">
        <v>0</v>
      </c>
      <c r="J161" t="s">
        <v>188</v>
      </c>
      <c r="K161">
        <v>446</v>
      </c>
      <c r="L161">
        <v>0</v>
      </c>
      <c r="N161">
        <v>1</v>
      </c>
      <c r="O161">
        <v>6045</v>
      </c>
    </row>
    <row r="162" spans="1:15" x14ac:dyDescent="0.25">
      <c r="A162" s="2">
        <v>44740</v>
      </c>
      <c r="B162" t="s">
        <v>20</v>
      </c>
      <c r="C162">
        <v>896912</v>
      </c>
      <c r="D162" s="2">
        <v>44740.022222222222</v>
      </c>
      <c r="E162" t="s">
        <v>91</v>
      </c>
      <c r="F162" t="s">
        <v>183</v>
      </c>
      <c r="G162">
        <v>356770</v>
      </c>
      <c r="H162">
        <v>12</v>
      </c>
      <c r="I162">
        <v>0</v>
      </c>
      <c r="J162" t="s">
        <v>185</v>
      </c>
      <c r="K162">
        <v>12</v>
      </c>
      <c r="L162">
        <v>12</v>
      </c>
      <c r="N162">
        <v>1</v>
      </c>
      <c r="O162">
        <v>6045</v>
      </c>
    </row>
    <row r="163" spans="1:15" x14ac:dyDescent="0.25">
      <c r="A163" s="2">
        <v>44768</v>
      </c>
      <c r="B163" t="s">
        <v>20</v>
      </c>
      <c r="C163">
        <v>903368</v>
      </c>
      <c r="D163" s="2">
        <v>44768.462500000001</v>
      </c>
      <c r="E163" t="s">
        <v>94</v>
      </c>
      <c r="G163">
        <v>0</v>
      </c>
      <c r="H163">
        <v>0</v>
      </c>
      <c r="I163">
        <v>500</v>
      </c>
      <c r="J163" t="s">
        <v>186</v>
      </c>
      <c r="K163">
        <v>-500</v>
      </c>
      <c r="L163">
        <v>-488</v>
      </c>
      <c r="N163">
        <v>1</v>
      </c>
      <c r="O163">
        <v>6045</v>
      </c>
    </row>
    <row r="164" spans="1:15" x14ac:dyDescent="0.25">
      <c r="A164" s="2">
        <v>44768</v>
      </c>
      <c r="B164" t="s">
        <v>20</v>
      </c>
      <c r="C164">
        <v>903368</v>
      </c>
      <c r="D164" s="2">
        <v>44768.462500000001</v>
      </c>
      <c r="E164" t="s">
        <v>89</v>
      </c>
      <c r="F164" t="s">
        <v>183</v>
      </c>
      <c r="G164">
        <v>359959</v>
      </c>
      <c r="H164">
        <v>42</v>
      </c>
      <c r="I164">
        <v>0</v>
      </c>
      <c r="J164" t="s">
        <v>187</v>
      </c>
      <c r="K164">
        <v>42</v>
      </c>
      <c r="L164">
        <v>-446</v>
      </c>
      <c r="N164">
        <v>1</v>
      </c>
      <c r="O164">
        <v>6045</v>
      </c>
    </row>
    <row r="165" spans="1:15" x14ac:dyDescent="0.25">
      <c r="A165" s="2">
        <v>44768</v>
      </c>
      <c r="B165" t="s">
        <v>20</v>
      </c>
      <c r="C165">
        <v>903398</v>
      </c>
      <c r="D165" s="2">
        <v>44768.463888888888</v>
      </c>
      <c r="E165" t="s">
        <v>90</v>
      </c>
      <c r="F165" t="s">
        <v>184</v>
      </c>
      <c r="G165">
        <v>271502</v>
      </c>
      <c r="H165">
        <v>446</v>
      </c>
      <c r="I165">
        <v>0</v>
      </c>
      <c r="J165" t="s">
        <v>188</v>
      </c>
      <c r="K165">
        <v>446</v>
      </c>
      <c r="L165">
        <v>0</v>
      </c>
      <c r="N165">
        <v>1</v>
      </c>
      <c r="O165">
        <v>6045</v>
      </c>
    </row>
    <row r="166" spans="1:15" x14ac:dyDescent="0.25">
      <c r="A166" s="2">
        <v>44770</v>
      </c>
      <c r="B166" t="s">
        <v>20</v>
      </c>
      <c r="C166">
        <v>903686</v>
      </c>
      <c r="D166" s="2">
        <v>44770.022222222222</v>
      </c>
      <c r="E166" t="s">
        <v>91</v>
      </c>
      <c r="F166" t="s">
        <v>183</v>
      </c>
      <c r="G166">
        <v>360811</v>
      </c>
      <c r="H166">
        <v>12</v>
      </c>
      <c r="I166">
        <v>0</v>
      </c>
      <c r="J166" t="s">
        <v>185</v>
      </c>
      <c r="K166">
        <v>12</v>
      </c>
      <c r="L166">
        <v>12</v>
      </c>
      <c r="N166">
        <v>0</v>
      </c>
      <c r="O166">
        <v>6045</v>
      </c>
    </row>
    <row r="167" spans="1:15" x14ac:dyDescent="0.25">
      <c r="A167" s="2">
        <v>44657</v>
      </c>
      <c r="B167" t="s">
        <v>21</v>
      </c>
      <c r="C167">
        <v>879845</v>
      </c>
      <c r="D167" s="2">
        <v>44657.529166666667</v>
      </c>
      <c r="E167" t="s">
        <v>95</v>
      </c>
      <c r="G167">
        <v>0</v>
      </c>
      <c r="H167">
        <v>0</v>
      </c>
      <c r="I167">
        <v>500</v>
      </c>
      <c r="J167" t="s">
        <v>186</v>
      </c>
      <c r="K167">
        <v>-500</v>
      </c>
      <c r="L167">
        <v>-500</v>
      </c>
      <c r="N167">
        <v>1</v>
      </c>
      <c r="O167">
        <v>6045</v>
      </c>
    </row>
    <row r="168" spans="1:15" x14ac:dyDescent="0.25">
      <c r="A168" s="2">
        <v>44657</v>
      </c>
      <c r="B168" t="s">
        <v>21</v>
      </c>
      <c r="C168">
        <v>879845</v>
      </c>
      <c r="D168" s="2">
        <v>44657.529166666667</v>
      </c>
      <c r="E168" t="s">
        <v>96</v>
      </c>
      <c r="F168" t="s">
        <v>183</v>
      </c>
      <c r="G168">
        <v>346173</v>
      </c>
      <c r="H168">
        <v>42</v>
      </c>
      <c r="I168">
        <v>0</v>
      </c>
      <c r="J168" t="s">
        <v>187</v>
      </c>
      <c r="K168">
        <v>42</v>
      </c>
      <c r="L168">
        <v>-458</v>
      </c>
      <c r="N168">
        <v>1</v>
      </c>
      <c r="O168">
        <v>6045</v>
      </c>
    </row>
    <row r="169" spans="1:15" x14ac:dyDescent="0.25">
      <c r="A169" s="2">
        <v>44657</v>
      </c>
      <c r="B169" t="s">
        <v>21</v>
      </c>
      <c r="C169">
        <v>879859</v>
      </c>
      <c r="D169" s="2">
        <v>44657.529861111107</v>
      </c>
      <c r="E169" t="s">
        <v>97</v>
      </c>
      <c r="F169" t="s">
        <v>184</v>
      </c>
      <c r="G169">
        <v>261097</v>
      </c>
      <c r="H169">
        <v>452</v>
      </c>
      <c r="I169">
        <v>0</v>
      </c>
      <c r="J169" t="s">
        <v>188</v>
      </c>
      <c r="K169">
        <v>452</v>
      </c>
      <c r="L169">
        <v>-6</v>
      </c>
      <c r="N169">
        <v>1</v>
      </c>
      <c r="O169">
        <v>6045</v>
      </c>
    </row>
    <row r="170" spans="1:15" x14ac:dyDescent="0.25">
      <c r="A170" s="2">
        <v>44679</v>
      </c>
      <c r="B170" t="s">
        <v>21</v>
      </c>
      <c r="C170">
        <v>884442</v>
      </c>
      <c r="D170" s="2">
        <v>44679.022222222222</v>
      </c>
      <c r="E170" t="s">
        <v>98</v>
      </c>
      <c r="F170" t="s">
        <v>183</v>
      </c>
      <c r="G170">
        <v>348843</v>
      </c>
      <c r="H170">
        <v>6</v>
      </c>
      <c r="I170">
        <v>0</v>
      </c>
      <c r="J170" t="s">
        <v>185</v>
      </c>
      <c r="K170">
        <v>6</v>
      </c>
      <c r="L170">
        <v>6</v>
      </c>
      <c r="N170">
        <v>1</v>
      </c>
      <c r="O170">
        <v>6045</v>
      </c>
    </row>
    <row r="171" spans="1:15" x14ac:dyDescent="0.25">
      <c r="A171" s="2">
        <v>44687</v>
      </c>
      <c r="B171" t="s">
        <v>21</v>
      </c>
      <c r="C171">
        <v>886374</v>
      </c>
      <c r="D171" s="2">
        <v>44687.509722222218</v>
      </c>
      <c r="E171" t="s">
        <v>99</v>
      </c>
      <c r="G171">
        <v>0</v>
      </c>
      <c r="H171">
        <v>0</v>
      </c>
      <c r="I171">
        <v>500</v>
      </c>
      <c r="J171" t="s">
        <v>186</v>
      </c>
      <c r="K171">
        <v>-500</v>
      </c>
      <c r="L171">
        <v>-494</v>
      </c>
      <c r="N171">
        <v>1</v>
      </c>
      <c r="O171">
        <v>6045</v>
      </c>
    </row>
    <row r="172" spans="1:15" x14ac:dyDescent="0.25">
      <c r="A172" s="2">
        <v>44687</v>
      </c>
      <c r="B172" t="s">
        <v>21</v>
      </c>
      <c r="C172">
        <v>886374</v>
      </c>
      <c r="D172" s="2">
        <v>44687.509722222218</v>
      </c>
      <c r="E172" t="s">
        <v>96</v>
      </c>
      <c r="F172" t="s">
        <v>183</v>
      </c>
      <c r="G172">
        <v>350139</v>
      </c>
      <c r="H172">
        <v>42</v>
      </c>
      <c r="I172">
        <v>0</v>
      </c>
      <c r="J172" t="s">
        <v>187</v>
      </c>
      <c r="K172">
        <v>42</v>
      </c>
      <c r="L172">
        <v>-452</v>
      </c>
      <c r="N172">
        <v>1</v>
      </c>
      <c r="O172">
        <v>6045</v>
      </c>
    </row>
    <row r="173" spans="1:15" x14ac:dyDescent="0.25">
      <c r="A173" s="2">
        <v>44687</v>
      </c>
      <c r="B173" t="s">
        <v>21</v>
      </c>
      <c r="C173">
        <v>886386</v>
      </c>
      <c r="D173" s="2">
        <v>44687.511111111111</v>
      </c>
      <c r="E173" t="s">
        <v>97</v>
      </c>
      <c r="F173" t="s">
        <v>184</v>
      </c>
      <c r="G173">
        <v>263903</v>
      </c>
      <c r="H173">
        <v>452</v>
      </c>
      <c r="I173">
        <v>0</v>
      </c>
      <c r="J173" t="s">
        <v>188</v>
      </c>
      <c r="K173">
        <v>452</v>
      </c>
      <c r="L173">
        <v>0</v>
      </c>
      <c r="N173">
        <v>1</v>
      </c>
      <c r="O173">
        <v>6045</v>
      </c>
    </row>
    <row r="174" spans="1:15" x14ac:dyDescent="0.25">
      <c r="A174" s="2">
        <v>44709</v>
      </c>
      <c r="B174" t="s">
        <v>21</v>
      </c>
      <c r="C174">
        <v>890834</v>
      </c>
      <c r="D174" s="2">
        <v>44709.022222222222</v>
      </c>
      <c r="E174" t="s">
        <v>98</v>
      </c>
      <c r="F174" t="s">
        <v>183</v>
      </c>
      <c r="G174">
        <v>352873</v>
      </c>
      <c r="H174">
        <v>6</v>
      </c>
      <c r="I174">
        <v>0</v>
      </c>
      <c r="J174" t="s">
        <v>185</v>
      </c>
      <c r="K174">
        <v>6</v>
      </c>
      <c r="L174">
        <v>6</v>
      </c>
      <c r="N174">
        <v>1</v>
      </c>
      <c r="O174">
        <v>6045</v>
      </c>
    </row>
    <row r="175" spans="1:15" x14ac:dyDescent="0.25">
      <c r="A175" s="2">
        <v>44718</v>
      </c>
      <c r="B175" t="s">
        <v>21</v>
      </c>
      <c r="C175">
        <v>892288</v>
      </c>
      <c r="D175" s="2">
        <v>44718.53125</v>
      </c>
      <c r="E175" t="s">
        <v>100</v>
      </c>
      <c r="G175">
        <v>0</v>
      </c>
      <c r="H175">
        <v>0</v>
      </c>
      <c r="I175">
        <v>500</v>
      </c>
      <c r="J175" t="s">
        <v>186</v>
      </c>
      <c r="K175">
        <v>-500</v>
      </c>
      <c r="L175">
        <v>-494</v>
      </c>
      <c r="N175">
        <v>1</v>
      </c>
      <c r="O175">
        <v>6045</v>
      </c>
    </row>
    <row r="176" spans="1:15" x14ac:dyDescent="0.25">
      <c r="A176" s="2">
        <v>44718</v>
      </c>
      <c r="B176" t="s">
        <v>21</v>
      </c>
      <c r="C176">
        <v>892288</v>
      </c>
      <c r="D176" s="2">
        <v>44718.53125</v>
      </c>
      <c r="E176" t="s">
        <v>96</v>
      </c>
      <c r="F176" t="s">
        <v>183</v>
      </c>
      <c r="G176">
        <v>353920</v>
      </c>
      <c r="H176">
        <v>42</v>
      </c>
      <c r="I176">
        <v>0</v>
      </c>
      <c r="J176" t="s">
        <v>187</v>
      </c>
      <c r="K176">
        <v>42</v>
      </c>
      <c r="L176">
        <v>-452</v>
      </c>
      <c r="N176">
        <v>1</v>
      </c>
      <c r="O176">
        <v>6045</v>
      </c>
    </row>
    <row r="177" spans="1:15" x14ac:dyDescent="0.25">
      <c r="A177" s="2">
        <v>44718</v>
      </c>
      <c r="B177" t="s">
        <v>21</v>
      </c>
      <c r="C177">
        <v>892319</v>
      </c>
      <c r="D177" s="2">
        <v>44718.533333333333</v>
      </c>
      <c r="E177" t="s">
        <v>97</v>
      </c>
      <c r="F177" t="s">
        <v>184</v>
      </c>
      <c r="G177">
        <v>266525</v>
      </c>
      <c r="H177">
        <v>452</v>
      </c>
      <c r="I177">
        <v>0</v>
      </c>
      <c r="J177" t="s">
        <v>188</v>
      </c>
      <c r="K177">
        <v>452</v>
      </c>
      <c r="L177">
        <v>0</v>
      </c>
      <c r="N177">
        <v>1</v>
      </c>
      <c r="O177">
        <v>6045</v>
      </c>
    </row>
    <row r="178" spans="1:15" x14ac:dyDescent="0.25">
      <c r="A178" s="2">
        <v>44740</v>
      </c>
      <c r="B178" t="s">
        <v>21</v>
      </c>
      <c r="C178">
        <v>896912</v>
      </c>
      <c r="D178" s="2">
        <v>44740.022222222222</v>
      </c>
      <c r="E178" t="s">
        <v>98</v>
      </c>
      <c r="F178" t="s">
        <v>183</v>
      </c>
      <c r="G178">
        <v>356664</v>
      </c>
      <c r="H178">
        <v>6</v>
      </c>
      <c r="I178">
        <v>0</v>
      </c>
      <c r="J178" t="s">
        <v>185</v>
      </c>
      <c r="K178">
        <v>6</v>
      </c>
      <c r="L178">
        <v>6</v>
      </c>
      <c r="N178">
        <v>1</v>
      </c>
      <c r="O178">
        <v>6045</v>
      </c>
    </row>
    <row r="179" spans="1:15" x14ac:dyDescent="0.25">
      <c r="A179" s="2">
        <v>44748</v>
      </c>
      <c r="B179" t="s">
        <v>21</v>
      </c>
      <c r="C179">
        <v>898955</v>
      </c>
      <c r="D179" s="2">
        <v>44748.42291666667</v>
      </c>
      <c r="E179" t="s">
        <v>101</v>
      </c>
      <c r="G179">
        <v>0</v>
      </c>
      <c r="H179">
        <v>0</v>
      </c>
      <c r="I179">
        <v>500</v>
      </c>
      <c r="J179" t="s">
        <v>186</v>
      </c>
      <c r="K179">
        <v>-500</v>
      </c>
      <c r="L179">
        <v>-494</v>
      </c>
      <c r="N179">
        <v>1</v>
      </c>
      <c r="O179">
        <v>6045</v>
      </c>
    </row>
    <row r="180" spans="1:15" x14ac:dyDescent="0.25">
      <c r="A180" s="2">
        <v>44748</v>
      </c>
      <c r="B180" t="s">
        <v>21</v>
      </c>
      <c r="C180">
        <v>898955</v>
      </c>
      <c r="D180" s="2">
        <v>44748.42291666667</v>
      </c>
      <c r="E180" t="s">
        <v>96</v>
      </c>
      <c r="F180" t="s">
        <v>183</v>
      </c>
      <c r="G180">
        <v>357981</v>
      </c>
      <c r="H180">
        <v>42</v>
      </c>
      <c r="I180">
        <v>0</v>
      </c>
      <c r="J180" t="s">
        <v>187</v>
      </c>
      <c r="K180">
        <v>42</v>
      </c>
      <c r="L180">
        <v>-452</v>
      </c>
      <c r="N180">
        <v>1</v>
      </c>
      <c r="O180">
        <v>6045</v>
      </c>
    </row>
    <row r="181" spans="1:15" x14ac:dyDescent="0.25">
      <c r="A181" s="2">
        <v>44748</v>
      </c>
      <c r="B181" t="s">
        <v>21</v>
      </c>
      <c r="C181">
        <v>898977</v>
      </c>
      <c r="D181" s="2">
        <v>44748.428472222222</v>
      </c>
      <c r="E181" t="s">
        <v>97</v>
      </c>
      <c r="F181" t="s">
        <v>184</v>
      </c>
      <c r="G181">
        <v>269532</v>
      </c>
      <c r="H181">
        <v>452</v>
      </c>
      <c r="I181">
        <v>0</v>
      </c>
      <c r="J181" t="s">
        <v>188</v>
      </c>
      <c r="K181">
        <v>452</v>
      </c>
      <c r="L181">
        <v>0</v>
      </c>
      <c r="N181">
        <v>1</v>
      </c>
      <c r="O181">
        <v>6045</v>
      </c>
    </row>
    <row r="182" spans="1:15" x14ac:dyDescent="0.25">
      <c r="A182" s="2">
        <v>44770</v>
      </c>
      <c r="B182" t="s">
        <v>21</v>
      </c>
      <c r="C182">
        <v>903686</v>
      </c>
      <c r="D182" s="2">
        <v>44770.022222222222</v>
      </c>
      <c r="E182" t="s">
        <v>98</v>
      </c>
      <c r="F182" t="s">
        <v>183</v>
      </c>
      <c r="G182">
        <v>360708</v>
      </c>
      <c r="H182">
        <v>6</v>
      </c>
      <c r="I182">
        <v>0</v>
      </c>
      <c r="J182" t="s">
        <v>185</v>
      </c>
      <c r="K182">
        <v>6</v>
      </c>
      <c r="L182">
        <v>6</v>
      </c>
      <c r="N182">
        <v>0</v>
      </c>
      <c r="O182">
        <v>6045</v>
      </c>
    </row>
    <row r="183" spans="1:15" x14ac:dyDescent="0.25">
      <c r="A183" s="2">
        <v>44658</v>
      </c>
      <c r="B183" t="s">
        <v>22</v>
      </c>
      <c r="C183">
        <v>880053</v>
      </c>
      <c r="D183" s="2">
        <v>44658.509027777778</v>
      </c>
      <c r="E183" t="s">
        <v>102</v>
      </c>
      <c r="G183">
        <v>0</v>
      </c>
      <c r="H183">
        <v>0</v>
      </c>
      <c r="I183">
        <v>459.84</v>
      </c>
      <c r="J183" t="s">
        <v>186</v>
      </c>
      <c r="K183">
        <v>-459.84</v>
      </c>
      <c r="L183">
        <v>-459.84</v>
      </c>
      <c r="N183">
        <v>1</v>
      </c>
      <c r="O183">
        <v>3072</v>
      </c>
    </row>
    <row r="184" spans="1:15" x14ac:dyDescent="0.25">
      <c r="A184" s="2">
        <v>44658</v>
      </c>
      <c r="B184" t="s">
        <v>22</v>
      </c>
      <c r="C184">
        <v>880053</v>
      </c>
      <c r="D184" s="2">
        <v>44658.509027777778</v>
      </c>
      <c r="E184" t="s">
        <v>103</v>
      </c>
      <c r="F184" t="s">
        <v>183</v>
      </c>
      <c r="G184">
        <v>346264</v>
      </c>
      <c r="H184">
        <v>33.11</v>
      </c>
      <c r="I184">
        <v>0</v>
      </c>
      <c r="J184" t="s">
        <v>187</v>
      </c>
      <c r="K184">
        <v>33.11</v>
      </c>
      <c r="L184">
        <v>-426.73</v>
      </c>
      <c r="N184">
        <v>1</v>
      </c>
      <c r="O184">
        <v>3072</v>
      </c>
    </row>
    <row r="185" spans="1:15" x14ac:dyDescent="0.25">
      <c r="A185" s="2">
        <v>44658</v>
      </c>
      <c r="B185" t="s">
        <v>22</v>
      </c>
      <c r="C185">
        <v>880053</v>
      </c>
      <c r="D185" s="2">
        <v>44658.509027777778</v>
      </c>
      <c r="E185" t="s">
        <v>104</v>
      </c>
      <c r="G185">
        <v>0</v>
      </c>
      <c r="H185">
        <v>0</v>
      </c>
      <c r="I185">
        <v>1.68</v>
      </c>
      <c r="J185" t="s">
        <v>186</v>
      </c>
      <c r="K185">
        <v>-1.68</v>
      </c>
      <c r="L185">
        <v>-428.41</v>
      </c>
      <c r="N185">
        <v>1</v>
      </c>
      <c r="O185">
        <v>3072</v>
      </c>
    </row>
    <row r="186" spans="1:15" x14ac:dyDescent="0.25">
      <c r="A186" s="2">
        <v>44658</v>
      </c>
      <c r="B186" t="s">
        <v>22</v>
      </c>
      <c r="C186">
        <v>880053</v>
      </c>
      <c r="D186" s="2">
        <v>44658.509027777778</v>
      </c>
      <c r="E186" t="s">
        <v>103</v>
      </c>
      <c r="F186" t="s">
        <v>183</v>
      </c>
      <c r="G186">
        <v>346264</v>
      </c>
      <c r="H186">
        <v>0.12</v>
      </c>
      <c r="I186">
        <v>0</v>
      </c>
      <c r="J186" t="s">
        <v>187</v>
      </c>
      <c r="K186">
        <v>0.12</v>
      </c>
      <c r="L186">
        <v>-428.29</v>
      </c>
      <c r="N186">
        <v>1</v>
      </c>
      <c r="O186">
        <v>3072</v>
      </c>
    </row>
    <row r="187" spans="1:15" x14ac:dyDescent="0.25">
      <c r="A187" s="2">
        <v>44658</v>
      </c>
      <c r="B187" t="s">
        <v>22</v>
      </c>
      <c r="C187">
        <v>880097</v>
      </c>
      <c r="D187" s="2">
        <v>44658.547222222223</v>
      </c>
      <c r="E187" t="s">
        <v>105</v>
      </c>
      <c r="F187" t="s">
        <v>184</v>
      </c>
      <c r="G187">
        <v>261179</v>
      </c>
      <c r="H187">
        <v>422.29</v>
      </c>
      <c r="I187">
        <v>0</v>
      </c>
      <c r="J187" t="s">
        <v>188</v>
      </c>
      <c r="K187">
        <v>422.29</v>
      </c>
      <c r="L187">
        <v>-6</v>
      </c>
      <c r="N187">
        <v>1</v>
      </c>
      <c r="O187">
        <v>3072</v>
      </c>
    </row>
    <row r="188" spans="1:15" x14ac:dyDescent="0.25">
      <c r="A188" s="2">
        <v>44679</v>
      </c>
      <c r="B188" t="s">
        <v>22</v>
      </c>
      <c r="C188">
        <v>884442</v>
      </c>
      <c r="D188" s="2">
        <v>44679.022222222222</v>
      </c>
      <c r="E188" t="s">
        <v>106</v>
      </c>
      <c r="F188" t="s">
        <v>183</v>
      </c>
      <c r="G188">
        <v>348846</v>
      </c>
      <c r="H188">
        <v>6</v>
      </c>
      <c r="I188">
        <v>0</v>
      </c>
      <c r="J188" t="s">
        <v>185</v>
      </c>
      <c r="K188">
        <v>6</v>
      </c>
      <c r="L188">
        <v>6</v>
      </c>
      <c r="N188">
        <v>1</v>
      </c>
      <c r="O188">
        <v>3072</v>
      </c>
    </row>
    <row r="189" spans="1:15" x14ac:dyDescent="0.25">
      <c r="A189" s="2">
        <v>44691</v>
      </c>
      <c r="B189" t="s">
        <v>22</v>
      </c>
      <c r="C189">
        <v>886928</v>
      </c>
      <c r="D189" s="2">
        <v>44691.475694444453</v>
      </c>
      <c r="E189" t="s">
        <v>107</v>
      </c>
      <c r="G189">
        <v>0</v>
      </c>
      <c r="H189">
        <v>0</v>
      </c>
      <c r="I189">
        <v>421.36</v>
      </c>
      <c r="J189" t="s">
        <v>186</v>
      </c>
      <c r="K189">
        <v>-421.36</v>
      </c>
      <c r="L189">
        <v>-415.36</v>
      </c>
      <c r="N189">
        <v>1</v>
      </c>
      <c r="O189">
        <v>3072</v>
      </c>
    </row>
    <row r="190" spans="1:15" x14ac:dyDescent="0.25">
      <c r="A190" s="2">
        <v>44691</v>
      </c>
      <c r="B190" t="s">
        <v>22</v>
      </c>
      <c r="C190">
        <v>886928</v>
      </c>
      <c r="D190" s="2">
        <v>44691.475694444453</v>
      </c>
      <c r="E190" t="s">
        <v>103</v>
      </c>
      <c r="F190" t="s">
        <v>183</v>
      </c>
      <c r="G190">
        <v>350577</v>
      </c>
      <c r="H190">
        <v>30.34</v>
      </c>
      <c r="I190">
        <v>0</v>
      </c>
      <c r="J190" t="s">
        <v>187</v>
      </c>
      <c r="K190">
        <v>30.34</v>
      </c>
      <c r="L190">
        <v>-385.02</v>
      </c>
      <c r="N190">
        <v>1</v>
      </c>
      <c r="O190">
        <v>3072</v>
      </c>
    </row>
    <row r="191" spans="1:15" x14ac:dyDescent="0.25">
      <c r="A191" s="2">
        <v>44691</v>
      </c>
      <c r="B191" t="s">
        <v>22</v>
      </c>
      <c r="C191">
        <v>886928</v>
      </c>
      <c r="D191" s="2">
        <v>44691.475694444453</v>
      </c>
      <c r="E191" t="s">
        <v>102</v>
      </c>
      <c r="G191">
        <v>0</v>
      </c>
      <c r="H191">
        <v>0</v>
      </c>
      <c r="I191">
        <v>40.159999999999997</v>
      </c>
      <c r="J191" t="s">
        <v>186</v>
      </c>
      <c r="K191">
        <v>-40.159999999999997</v>
      </c>
      <c r="L191">
        <v>-425.18</v>
      </c>
      <c r="N191">
        <v>1</v>
      </c>
      <c r="O191">
        <v>3072</v>
      </c>
    </row>
    <row r="192" spans="1:15" x14ac:dyDescent="0.25">
      <c r="A192" s="2">
        <v>44691</v>
      </c>
      <c r="B192" t="s">
        <v>22</v>
      </c>
      <c r="C192">
        <v>886928</v>
      </c>
      <c r="D192" s="2">
        <v>44691.475694444453</v>
      </c>
      <c r="E192" t="s">
        <v>103</v>
      </c>
      <c r="F192" t="s">
        <v>183</v>
      </c>
      <c r="G192">
        <v>350577</v>
      </c>
      <c r="H192">
        <v>2.89</v>
      </c>
      <c r="I192">
        <v>0</v>
      </c>
      <c r="J192" t="s">
        <v>187</v>
      </c>
      <c r="K192">
        <v>2.89</v>
      </c>
      <c r="L192">
        <v>-422.29</v>
      </c>
      <c r="N192">
        <v>1</v>
      </c>
      <c r="O192">
        <v>3072</v>
      </c>
    </row>
    <row r="193" spans="1:15" x14ac:dyDescent="0.25">
      <c r="A193" s="2">
        <v>44691</v>
      </c>
      <c r="B193" t="s">
        <v>22</v>
      </c>
      <c r="C193">
        <v>886961</v>
      </c>
      <c r="D193" s="2">
        <v>44691.477777777778</v>
      </c>
      <c r="E193" t="s">
        <v>105</v>
      </c>
      <c r="F193" t="s">
        <v>184</v>
      </c>
      <c r="G193">
        <v>264091</v>
      </c>
      <c r="H193">
        <v>422.29</v>
      </c>
      <c r="I193">
        <v>0</v>
      </c>
      <c r="J193" t="s">
        <v>188</v>
      </c>
      <c r="K193">
        <v>422.29</v>
      </c>
      <c r="L193">
        <v>0</v>
      </c>
      <c r="N193">
        <v>1</v>
      </c>
      <c r="O193">
        <v>3072</v>
      </c>
    </row>
    <row r="194" spans="1:15" x14ac:dyDescent="0.25">
      <c r="A194" s="2">
        <v>44709</v>
      </c>
      <c r="B194" t="s">
        <v>22</v>
      </c>
      <c r="C194">
        <v>890834</v>
      </c>
      <c r="D194" s="2">
        <v>44709.022222222222</v>
      </c>
      <c r="E194" t="s">
        <v>106</v>
      </c>
      <c r="F194" t="s">
        <v>183</v>
      </c>
      <c r="G194">
        <v>352876</v>
      </c>
      <c r="H194">
        <v>6</v>
      </c>
      <c r="I194">
        <v>0</v>
      </c>
      <c r="J194" t="s">
        <v>185</v>
      </c>
      <c r="K194">
        <v>6</v>
      </c>
      <c r="L194">
        <v>6</v>
      </c>
      <c r="N194">
        <v>1</v>
      </c>
      <c r="O194">
        <v>3072</v>
      </c>
    </row>
    <row r="195" spans="1:15" x14ac:dyDescent="0.25">
      <c r="A195" s="2">
        <v>44713</v>
      </c>
      <c r="B195" t="s">
        <v>22</v>
      </c>
      <c r="C195">
        <v>891712</v>
      </c>
      <c r="D195" s="2">
        <v>44713.456944444442</v>
      </c>
      <c r="E195" t="s">
        <v>107</v>
      </c>
      <c r="G195">
        <v>0</v>
      </c>
      <c r="H195">
        <v>0</v>
      </c>
      <c r="I195">
        <v>78.64</v>
      </c>
      <c r="J195" t="s">
        <v>186</v>
      </c>
      <c r="K195">
        <v>-78.64</v>
      </c>
      <c r="L195">
        <v>-72.64</v>
      </c>
      <c r="N195">
        <v>1</v>
      </c>
      <c r="O195">
        <v>3072</v>
      </c>
    </row>
    <row r="196" spans="1:15" x14ac:dyDescent="0.25">
      <c r="A196" s="2">
        <v>44713</v>
      </c>
      <c r="B196" t="s">
        <v>22</v>
      </c>
      <c r="C196">
        <v>891712</v>
      </c>
      <c r="D196" s="2">
        <v>44713.456944444442</v>
      </c>
      <c r="E196" t="s">
        <v>103</v>
      </c>
      <c r="F196" t="s">
        <v>183</v>
      </c>
      <c r="G196">
        <v>353521</v>
      </c>
      <c r="H196">
        <v>5.66</v>
      </c>
      <c r="I196">
        <v>0</v>
      </c>
      <c r="J196" t="s">
        <v>187</v>
      </c>
      <c r="K196">
        <v>5.66</v>
      </c>
      <c r="L196">
        <v>-66.98</v>
      </c>
      <c r="N196">
        <v>1</v>
      </c>
      <c r="O196">
        <v>3072</v>
      </c>
    </row>
    <row r="197" spans="1:15" x14ac:dyDescent="0.25">
      <c r="A197" s="2">
        <v>44713</v>
      </c>
      <c r="B197" t="s">
        <v>22</v>
      </c>
      <c r="C197">
        <v>891712</v>
      </c>
      <c r="D197" s="2">
        <v>44713.456944444442</v>
      </c>
      <c r="E197" t="s">
        <v>108</v>
      </c>
      <c r="G197">
        <v>0</v>
      </c>
      <c r="H197">
        <v>0</v>
      </c>
      <c r="I197">
        <v>382.88</v>
      </c>
      <c r="J197" t="s">
        <v>186</v>
      </c>
      <c r="K197">
        <v>-382.88</v>
      </c>
      <c r="L197">
        <v>-449.86</v>
      </c>
      <c r="N197">
        <v>1</v>
      </c>
      <c r="O197">
        <v>3072</v>
      </c>
    </row>
    <row r="198" spans="1:15" x14ac:dyDescent="0.25">
      <c r="A198" s="2">
        <v>44713</v>
      </c>
      <c r="B198" t="s">
        <v>22</v>
      </c>
      <c r="C198">
        <v>891712</v>
      </c>
      <c r="D198" s="2">
        <v>44713.456944444442</v>
      </c>
      <c r="E198" t="s">
        <v>103</v>
      </c>
      <c r="F198" t="s">
        <v>183</v>
      </c>
      <c r="G198">
        <v>353521</v>
      </c>
      <c r="H198">
        <v>27.56</v>
      </c>
      <c r="I198">
        <v>0</v>
      </c>
      <c r="J198" t="s">
        <v>187</v>
      </c>
      <c r="K198">
        <v>27.56</v>
      </c>
      <c r="L198">
        <v>-422.3</v>
      </c>
      <c r="N198">
        <v>1</v>
      </c>
      <c r="O198">
        <v>3072</v>
      </c>
    </row>
    <row r="199" spans="1:15" x14ac:dyDescent="0.25">
      <c r="A199" s="2">
        <v>44713</v>
      </c>
      <c r="B199" t="s">
        <v>22</v>
      </c>
      <c r="C199">
        <v>891743</v>
      </c>
      <c r="D199" s="2">
        <v>44713.459027777782</v>
      </c>
      <c r="E199" t="s">
        <v>105</v>
      </c>
      <c r="F199" t="s">
        <v>184</v>
      </c>
      <c r="G199">
        <v>266246</v>
      </c>
      <c r="H199">
        <v>422.3</v>
      </c>
      <c r="I199">
        <v>0</v>
      </c>
      <c r="J199" t="s">
        <v>188</v>
      </c>
      <c r="K199">
        <v>422.3</v>
      </c>
      <c r="L199">
        <v>0</v>
      </c>
      <c r="N199">
        <v>1</v>
      </c>
      <c r="O199">
        <v>3072</v>
      </c>
    </row>
    <row r="200" spans="1:15" x14ac:dyDescent="0.25">
      <c r="A200" s="2">
        <v>44740</v>
      </c>
      <c r="B200" t="s">
        <v>22</v>
      </c>
      <c r="C200">
        <v>896912</v>
      </c>
      <c r="D200" s="2">
        <v>44740.022222222222</v>
      </c>
      <c r="E200" t="s">
        <v>106</v>
      </c>
      <c r="F200" t="s">
        <v>183</v>
      </c>
      <c r="G200">
        <v>356667</v>
      </c>
      <c r="H200">
        <v>6</v>
      </c>
      <c r="I200">
        <v>0</v>
      </c>
      <c r="J200" t="s">
        <v>185</v>
      </c>
      <c r="K200">
        <v>6</v>
      </c>
      <c r="L200">
        <v>6</v>
      </c>
      <c r="N200">
        <v>1</v>
      </c>
      <c r="O200">
        <v>3072</v>
      </c>
    </row>
    <row r="201" spans="1:15" x14ac:dyDescent="0.25">
      <c r="A201" s="2">
        <v>44740</v>
      </c>
      <c r="B201" t="s">
        <v>22</v>
      </c>
      <c r="C201">
        <v>897180</v>
      </c>
      <c r="D201" s="2">
        <v>44740.519444444442</v>
      </c>
      <c r="E201" t="s">
        <v>109</v>
      </c>
      <c r="G201">
        <v>0</v>
      </c>
      <c r="H201">
        <v>0</v>
      </c>
      <c r="I201">
        <v>344.4</v>
      </c>
      <c r="J201" t="s">
        <v>186</v>
      </c>
      <c r="K201">
        <v>-344.4</v>
      </c>
      <c r="L201">
        <v>-338.4</v>
      </c>
      <c r="N201">
        <v>1</v>
      </c>
      <c r="O201">
        <v>3072</v>
      </c>
    </row>
    <row r="202" spans="1:15" x14ac:dyDescent="0.25">
      <c r="A202" s="2">
        <v>44740</v>
      </c>
      <c r="B202" t="s">
        <v>22</v>
      </c>
      <c r="C202">
        <v>897180</v>
      </c>
      <c r="D202" s="2">
        <v>44740.519444444442</v>
      </c>
      <c r="E202" t="s">
        <v>103</v>
      </c>
      <c r="F202" t="s">
        <v>183</v>
      </c>
      <c r="G202">
        <v>357018</v>
      </c>
      <c r="H202">
        <v>24.79</v>
      </c>
      <c r="I202">
        <v>0</v>
      </c>
      <c r="J202" t="s">
        <v>187</v>
      </c>
      <c r="K202">
        <v>24.79</v>
      </c>
      <c r="L202">
        <v>-313.61</v>
      </c>
      <c r="N202">
        <v>1</v>
      </c>
      <c r="O202">
        <v>3072</v>
      </c>
    </row>
    <row r="203" spans="1:15" x14ac:dyDescent="0.25">
      <c r="A203" s="2">
        <v>44740</v>
      </c>
      <c r="B203" t="s">
        <v>22</v>
      </c>
      <c r="C203">
        <v>897180</v>
      </c>
      <c r="D203" s="2">
        <v>44740.519444444442</v>
      </c>
      <c r="E203" t="s">
        <v>108</v>
      </c>
      <c r="G203">
        <v>0</v>
      </c>
      <c r="H203">
        <v>0</v>
      </c>
      <c r="I203">
        <v>117.12</v>
      </c>
      <c r="J203" t="s">
        <v>186</v>
      </c>
      <c r="K203">
        <v>-117.12</v>
      </c>
      <c r="L203">
        <v>-430.73</v>
      </c>
      <c r="N203">
        <v>1</v>
      </c>
      <c r="O203">
        <v>3072</v>
      </c>
    </row>
    <row r="204" spans="1:15" x14ac:dyDescent="0.25">
      <c r="A204" s="2">
        <v>44740</v>
      </c>
      <c r="B204" t="s">
        <v>22</v>
      </c>
      <c r="C204">
        <v>897180</v>
      </c>
      <c r="D204" s="2">
        <v>44740.519444444442</v>
      </c>
      <c r="E204" t="s">
        <v>103</v>
      </c>
      <c r="F204" t="s">
        <v>183</v>
      </c>
      <c r="G204">
        <v>357018</v>
      </c>
      <c r="H204">
        <v>8.44</v>
      </c>
      <c r="I204">
        <v>0</v>
      </c>
      <c r="J204" t="s">
        <v>187</v>
      </c>
      <c r="K204">
        <v>8.44</v>
      </c>
      <c r="L204">
        <v>-422.29</v>
      </c>
      <c r="N204">
        <v>1</v>
      </c>
      <c r="O204">
        <v>3072</v>
      </c>
    </row>
    <row r="205" spans="1:15" x14ac:dyDescent="0.25">
      <c r="A205" s="2">
        <v>44740</v>
      </c>
      <c r="B205" t="s">
        <v>22</v>
      </c>
      <c r="C205">
        <v>897206</v>
      </c>
      <c r="D205" s="2">
        <v>44740.520138888889</v>
      </c>
      <c r="E205" t="s">
        <v>105</v>
      </c>
      <c r="F205" t="s">
        <v>184</v>
      </c>
      <c r="G205">
        <v>268738</v>
      </c>
      <c r="H205">
        <v>422.29</v>
      </c>
      <c r="I205">
        <v>0</v>
      </c>
      <c r="J205" t="s">
        <v>188</v>
      </c>
      <c r="K205">
        <v>422.29</v>
      </c>
      <c r="L205">
        <v>0</v>
      </c>
      <c r="N205">
        <v>1</v>
      </c>
      <c r="O205">
        <v>3072</v>
      </c>
    </row>
    <row r="206" spans="1:15" x14ac:dyDescent="0.25">
      <c r="A206" s="2">
        <v>44768</v>
      </c>
      <c r="B206" t="s">
        <v>22</v>
      </c>
      <c r="C206">
        <v>903372</v>
      </c>
      <c r="D206" s="2">
        <v>44768.462500000001</v>
      </c>
      <c r="E206" t="s">
        <v>110</v>
      </c>
      <c r="G206">
        <v>0</v>
      </c>
      <c r="H206">
        <v>0</v>
      </c>
      <c r="I206">
        <v>305.92</v>
      </c>
      <c r="J206" t="s">
        <v>186</v>
      </c>
      <c r="K206">
        <v>-305.92</v>
      </c>
      <c r="L206">
        <v>-305.92</v>
      </c>
      <c r="N206">
        <v>1</v>
      </c>
      <c r="O206">
        <v>3072</v>
      </c>
    </row>
    <row r="207" spans="1:15" x14ac:dyDescent="0.25">
      <c r="A207" s="2">
        <v>44768</v>
      </c>
      <c r="B207" t="s">
        <v>22</v>
      </c>
      <c r="C207">
        <v>903372</v>
      </c>
      <c r="D207" s="2">
        <v>44768.462500000001</v>
      </c>
      <c r="E207" t="s">
        <v>103</v>
      </c>
      <c r="F207" t="s">
        <v>183</v>
      </c>
      <c r="G207">
        <v>359963</v>
      </c>
      <c r="H207">
        <v>22.03</v>
      </c>
      <c r="I207">
        <v>0</v>
      </c>
      <c r="J207" t="s">
        <v>187</v>
      </c>
      <c r="K207">
        <v>22.03</v>
      </c>
      <c r="L207">
        <v>-283.89</v>
      </c>
      <c r="N207">
        <v>1</v>
      </c>
      <c r="O207">
        <v>3072</v>
      </c>
    </row>
    <row r="208" spans="1:15" x14ac:dyDescent="0.25">
      <c r="A208" s="2">
        <v>44768</v>
      </c>
      <c r="B208" t="s">
        <v>22</v>
      </c>
      <c r="C208">
        <v>903372</v>
      </c>
      <c r="D208" s="2">
        <v>44768.462500000001</v>
      </c>
      <c r="E208" t="s">
        <v>109</v>
      </c>
      <c r="G208">
        <v>0</v>
      </c>
      <c r="H208">
        <v>0</v>
      </c>
      <c r="I208">
        <v>155.6</v>
      </c>
      <c r="J208" t="s">
        <v>186</v>
      </c>
      <c r="K208">
        <v>-155.6</v>
      </c>
      <c r="L208">
        <v>-439.49</v>
      </c>
      <c r="N208">
        <v>1</v>
      </c>
      <c r="O208">
        <v>3072</v>
      </c>
    </row>
    <row r="209" spans="1:15" x14ac:dyDescent="0.25">
      <c r="A209" s="2">
        <v>44768</v>
      </c>
      <c r="B209" t="s">
        <v>22</v>
      </c>
      <c r="C209">
        <v>903372</v>
      </c>
      <c r="D209" s="2">
        <v>44768.462500000001</v>
      </c>
      <c r="E209" t="s">
        <v>103</v>
      </c>
      <c r="F209" t="s">
        <v>183</v>
      </c>
      <c r="G209">
        <v>359963</v>
      </c>
      <c r="H209">
        <v>11.21</v>
      </c>
      <c r="I209">
        <v>0</v>
      </c>
      <c r="J209" t="s">
        <v>187</v>
      </c>
      <c r="K209">
        <v>11.21</v>
      </c>
      <c r="L209">
        <v>-428.28</v>
      </c>
      <c r="N209">
        <v>1</v>
      </c>
      <c r="O209">
        <v>3072</v>
      </c>
    </row>
    <row r="210" spans="1:15" x14ac:dyDescent="0.25">
      <c r="A210" s="2">
        <v>44768</v>
      </c>
      <c r="B210" t="s">
        <v>22</v>
      </c>
      <c r="C210">
        <v>903398</v>
      </c>
      <c r="D210" s="2">
        <v>44768.463888888888</v>
      </c>
      <c r="E210" t="s">
        <v>105</v>
      </c>
      <c r="F210" t="s">
        <v>184</v>
      </c>
      <c r="G210">
        <v>271506</v>
      </c>
      <c r="H210">
        <v>428.28</v>
      </c>
      <c r="I210">
        <v>0</v>
      </c>
      <c r="J210" t="s">
        <v>188</v>
      </c>
      <c r="K210">
        <v>428.28</v>
      </c>
      <c r="L210">
        <v>0</v>
      </c>
      <c r="N210">
        <v>1</v>
      </c>
      <c r="O210">
        <v>3072</v>
      </c>
    </row>
    <row r="211" spans="1:15" x14ac:dyDescent="0.25">
      <c r="A211" s="2">
        <v>44770</v>
      </c>
      <c r="B211" t="s">
        <v>22</v>
      </c>
      <c r="C211">
        <v>903686</v>
      </c>
      <c r="D211" s="2">
        <v>44770.022222222222</v>
      </c>
      <c r="E211" t="s">
        <v>106</v>
      </c>
      <c r="F211" t="s">
        <v>183</v>
      </c>
      <c r="G211">
        <v>360711</v>
      </c>
      <c r="H211">
        <v>6</v>
      </c>
      <c r="I211">
        <v>0</v>
      </c>
      <c r="J211" t="s">
        <v>185</v>
      </c>
      <c r="K211">
        <v>6</v>
      </c>
      <c r="L211">
        <v>6</v>
      </c>
      <c r="N211">
        <v>0</v>
      </c>
      <c r="O211">
        <v>3072</v>
      </c>
    </row>
    <row r="212" spans="1:15" x14ac:dyDescent="0.25">
      <c r="A212" s="2">
        <v>44679</v>
      </c>
      <c r="B212" t="s">
        <v>23</v>
      </c>
      <c r="C212">
        <v>884442</v>
      </c>
      <c r="D212" s="2">
        <v>44679.022222222222</v>
      </c>
      <c r="E212" t="s">
        <v>111</v>
      </c>
      <c r="F212" t="s">
        <v>183</v>
      </c>
      <c r="G212">
        <v>349086</v>
      </c>
      <c r="H212">
        <v>6</v>
      </c>
      <c r="I212">
        <v>0</v>
      </c>
      <c r="J212" t="s">
        <v>185</v>
      </c>
      <c r="K212">
        <v>6</v>
      </c>
      <c r="L212">
        <v>6</v>
      </c>
      <c r="N212">
        <v>0</v>
      </c>
    </row>
    <row r="213" spans="1:15" x14ac:dyDescent="0.25">
      <c r="A213" s="2">
        <v>44709</v>
      </c>
      <c r="B213" t="s">
        <v>23</v>
      </c>
      <c r="C213">
        <v>890834</v>
      </c>
      <c r="D213" s="2">
        <v>44709.022222222222</v>
      </c>
      <c r="E213" t="s">
        <v>111</v>
      </c>
      <c r="F213" t="s">
        <v>183</v>
      </c>
      <c r="G213">
        <v>353112</v>
      </c>
      <c r="H213">
        <v>6</v>
      </c>
      <c r="I213">
        <v>0</v>
      </c>
      <c r="J213" t="s">
        <v>185</v>
      </c>
      <c r="K213">
        <v>6</v>
      </c>
      <c r="L213">
        <v>12</v>
      </c>
      <c r="N213">
        <v>0</v>
      </c>
    </row>
    <row r="214" spans="1:15" x14ac:dyDescent="0.25">
      <c r="A214" s="2">
        <v>44740</v>
      </c>
      <c r="B214" t="s">
        <v>23</v>
      </c>
      <c r="C214">
        <v>896912</v>
      </c>
      <c r="D214" s="2">
        <v>44740.022222222222</v>
      </c>
      <c r="E214" t="s">
        <v>111</v>
      </c>
      <c r="F214" t="s">
        <v>183</v>
      </c>
      <c r="G214">
        <v>356889</v>
      </c>
      <c r="H214">
        <v>6</v>
      </c>
      <c r="I214">
        <v>0</v>
      </c>
      <c r="J214" t="s">
        <v>185</v>
      </c>
      <c r="K214">
        <v>6</v>
      </c>
      <c r="L214">
        <v>18</v>
      </c>
      <c r="N214">
        <v>0</v>
      </c>
    </row>
    <row r="215" spans="1:15" x14ac:dyDescent="0.25">
      <c r="A215" s="2">
        <v>44679</v>
      </c>
      <c r="B215" t="s">
        <v>24</v>
      </c>
      <c r="C215">
        <v>884442</v>
      </c>
      <c r="D215" s="2">
        <v>44679.022222222222</v>
      </c>
      <c r="E215" t="s">
        <v>112</v>
      </c>
      <c r="F215" t="s">
        <v>183</v>
      </c>
      <c r="G215">
        <v>348968</v>
      </c>
      <c r="H215">
        <v>6</v>
      </c>
      <c r="I215">
        <v>0</v>
      </c>
      <c r="J215" t="s">
        <v>185</v>
      </c>
      <c r="K215">
        <v>6</v>
      </c>
      <c r="L215">
        <v>6</v>
      </c>
      <c r="N215">
        <v>0</v>
      </c>
    </row>
    <row r="216" spans="1:15" x14ac:dyDescent="0.25">
      <c r="A216" s="2">
        <v>44709</v>
      </c>
      <c r="B216" t="s">
        <v>24</v>
      </c>
      <c r="C216">
        <v>890834</v>
      </c>
      <c r="D216" s="2">
        <v>44709.022222222222</v>
      </c>
      <c r="E216" t="s">
        <v>112</v>
      </c>
      <c r="F216" t="s">
        <v>183</v>
      </c>
      <c r="G216">
        <v>352996</v>
      </c>
      <c r="H216">
        <v>6</v>
      </c>
      <c r="I216">
        <v>0</v>
      </c>
      <c r="J216" t="s">
        <v>185</v>
      </c>
      <c r="K216">
        <v>6</v>
      </c>
      <c r="L216">
        <v>12</v>
      </c>
      <c r="N216">
        <v>0</v>
      </c>
    </row>
    <row r="217" spans="1:15" x14ac:dyDescent="0.25">
      <c r="A217" s="2">
        <v>44740</v>
      </c>
      <c r="B217" t="s">
        <v>24</v>
      </c>
      <c r="C217">
        <v>896912</v>
      </c>
      <c r="D217" s="2">
        <v>44740.022222222222</v>
      </c>
      <c r="E217" t="s">
        <v>112</v>
      </c>
      <c r="F217" t="s">
        <v>183</v>
      </c>
      <c r="G217">
        <v>356780</v>
      </c>
      <c r="H217">
        <v>6</v>
      </c>
      <c r="I217">
        <v>0</v>
      </c>
      <c r="J217" t="s">
        <v>185</v>
      </c>
      <c r="K217">
        <v>6</v>
      </c>
      <c r="L217">
        <v>18</v>
      </c>
      <c r="N217">
        <v>0</v>
      </c>
    </row>
    <row r="218" spans="1:15" x14ac:dyDescent="0.25">
      <c r="A218" s="2">
        <v>44679</v>
      </c>
      <c r="B218" t="s">
        <v>25</v>
      </c>
      <c r="C218">
        <v>884442</v>
      </c>
      <c r="D218" s="2">
        <v>44679.022222222222</v>
      </c>
      <c r="E218" t="s">
        <v>113</v>
      </c>
      <c r="F218" t="s">
        <v>183</v>
      </c>
      <c r="G218">
        <v>348970</v>
      </c>
      <c r="H218">
        <v>6</v>
      </c>
      <c r="I218">
        <v>0</v>
      </c>
      <c r="J218" t="s">
        <v>185</v>
      </c>
      <c r="K218">
        <v>6</v>
      </c>
      <c r="L218">
        <v>6</v>
      </c>
      <c r="N218">
        <v>0</v>
      </c>
    </row>
    <row r="219" spans="1:15" x14ac:dyDescent="0.25">
      <c r="A219" s="2">
        <v>44709</v>
      </c>
      <c r="B219" t="s">
        <v>25</v>
      </c>
      <c r="C219">
        <v>890834</v>
      </c>
      <c r="D219" s="2">
        <v>44709.022222222222</v>
      </c>
      <c r="E219" t="s">
        <v>113</v>
      </c>
      <c r="F219" t="s">
        <v>183</v>
      </c>
      <c r="G219">
        <v>352998</v>
      </c>
      <c r="H219">
        <v>6</v>
      </c>
      <c r="I219">
        <v>0</v>
      </c>
      <c r="J219" t="s">
        <v>185</v>
      </c>
      <c r="K219">
        <v>6</v>
      </c>
      <c r="L219">
        <v>12</v>
      </c>
      <c r="N219">
        <v>0</v>
      </c>
    </row>
    <row r="220" spans="1:15" x14ac:dyDescent="0.25">
      <c r="A220" s="2">
        <v>44740</v>
      </c>
      <c r="B220" t="s">
        <v>25</v>
      </c>
      <c r="C220">
        <v>896912</v>
      </c>
      <c r="D220" s="2">
        <v>44740.022222222222</v>
      </c>
      <c r="E220" t="s">
        <v>113</v>
      </c>
      <c r="F220" t="s">
        <v>183</v>
      </c>
      <c r="G220">
        <v>356782</v>
      </c>
      <c r="H220">
        <v>6</v>
      </c>
      <c r="I220">
        <v>0</v>
      </c>
      <c r="J220" t="s">
        <v>185</v>
      </c>
      <c r="K220">
        <v>6</v>
      </c>
      <c r="L220">
        <v>18</v>
      </c>
      <c r="N220">
        <v>0</v>
      </c>
    </row>
    <row r="221" spans="1:15" x14ac:dyDescent="0.25">
      <c r="A221" s="2">
        <v>44679</v>
      </c>
      <c r="B221" t="s">
        <v>26</v>
      </c>
      <c r="C221">
        <v>884442</v>
      </c>
      <c r="D221" s="2">
        <v>44679.022222222222</v>
      </c>
      <c r="E221" t="s">
        <v>114</v>
      </c>
      <c r="F221" t="s">
        <v>183</v>
      </c>
      <c r="G221">
        <v>348971</v>
      </c>
      <c r="H221">
        <v>6</v>
      </c>
      <c r="I221">
        <v>0</v>
      </c>
      <c r="J221" t="s">
        <v>185</v>
      </c>
      <c r="K221">
        <v>6</v>
      </c>
      <c r="L221">
        <v>6</v>
      </c>
      <c r="N221">
        <v>0</v>
      </c>
    </row>
    <row r="222" spans="1:15" x14ac:dyDescent="0.25">
      <c r="A222" s="2">
        <v>44709</v>
      </c>
      <c r="B222" t="s">
        <v>26</v>
      </c>
      <c r="C222">
        <v>890834</v>
      </c>
      <c r="D222" s="2">
        <v>44709.022222222222</v>
      </c>
      <c r="E222" t="s">
        <v>114</v>
      </c>
      <c r="F222" t="s">
        <v>183</v>
      </c>
      <c r="G222">
        <v>352999</v>
      </c>
      <c r="H222">
        <v>6</v>
      </c>
      <c r="I222">
        <v>0</v>
      </c>
      <c r="J222" t="s">
        <v>185</v>
      </c>
      <c r="K222">
        <v>6</v>
      </c>
      <c r="L222">
        <v>12</v>
      </c>
      <c r="N222">
        <v>0</v>
      </c>
    </row>
    <row r="223" spans="1:15" x14ac:dyDescent="0.25">
      <c r="A223" s="2">
        <v>44740</v>
      </c>
      <c r="B223" t="s">
        <v>26</v>
      </c>
      <c r="C223">
        <v>896912</v>
      </c>
      <c r="D223" s="2">
        <v>44740.022222222222</v>
      </c>
      <c r="E223" t="s">
        <v>114</v>
      </c>
      <c r="F223" t="s">
        <v>183</v>
      </c>
      <c r="G223">
        <v>356783</v>
      </c>
      <c r="H223">
        <v>6</v>
      </c>
      <c r="I223">
        <v>0</v>
      </c>
      <c r="J223" t="s">
        <v>185</v>
      </c>
      <c r="K223">
        <v>6</v>
      </c>
      <c r="L223">
        <v>18</v>
      </c>
      <c r="N223">
        <v>0</v>
      </c>
    </row>
    <row r="224" spans="1:15" x14ac:dyDescent="0.25">
      <c r="A224" s="2">
        <v>44740</v>
      </c>
      <c r="B224" t="s">
        <v>27</v>
      </c>
      <c r="C224">
        <v>896912</v>
      </c>
      <c r="D224" s="2">
        <v>44740.022222222222</v>
      </c>
      <c r="E224" t="s">
        <v>115</v>
      </c>
      <c r="F224" t="s">
        <v>183</v>
      </c>
      <c r="G224">
        <v>356784</v>
      </c>
      <c r="H224">
        <v>6</v>
      </c>
      <c r="I224">
        <v>0</v>
      </c>
      <c r="J224" t="s">
        <v>185</v>
      </c>
      <c r="K224">
        <v>6</v>
      </c>
      <c r="L224">
        <v>6</v>
      </c>
      <c r="N224">
        <v>0</v>
      </c>
    </row>
    <row r="225" spans="1:15" x14ac:dyDescent="0.25">
      <c r="A225" s="2">
        <v>44658</v>
      </c>
      <c r="B225" t="s">
        <v>28</v>
      </c>
      <c r="C225">
        <v>880055</v>
      </c>
      <c r="D225" s="2">
        <v>44658.509027777778</v>
      </c>
      <c r="E225" t="s">
        <v>116</v>
      </c>
      <c r="G225">
        <v>0</v>
      </c>
      <c r="H225">
        <v>0</v>
      </c>
      <c r="I225">
        <v>306.88</v>
      </c>
      <c r="J225" t="s">
        <v>186</v>
      </c>
      <c r="K225">
        <v>-306.88</v>
      </c>
      <c r="L225">
        <v>-306.88</v>
      </c>
      <c r="N225">
        <v>1</v>
      </c>
      <c r="O225">
        <v>6045</v>
      </c>
    </row>
    <row r="226" spans="1:15" x14ac:dyDescent="0.25">
      <c r="A226" s="2">
        <v>44658</v>
      </c>
      <c r="B226" t="s">
        <v>28</v>
      </c>
      <c r="C226">
        <v>880055</v>
      </c>
      <c r="D226" s="2">
        <v>44658.509027777778</v>
      </c>
      <c r="E226" t="s">
        <v>117</v>
      </c>
      <c r="F226" t="s">
        <v>183</v>
      </c>
      <c r="G226">
        <v>346266</v>
      </c>
      <c r="H226">
        <v>25.78</v>
      </c>
      <c r="I226">
        <v>0</v>
      </c>
      <c r="J226" t="s">
        <v>187</v>
      </c>
      <c r="K226">
        <v>25.78</v>
      </c>
      <c r="L226">
        <v>-281.10000000000002</v>
      </c>
      <c r="N226">
        <v>1</v>
      </c>
      <c r="O226">
        <v>6045</v>
      </c>
    </row>
    <row r="227" spans="1:15" x14ac:dyDescent="0.25">
      <c r="A227" s="2">
        <v>44658</v>
      </c>
      <c r="B227" t="s">
        <v>28</v>
      </c>
      <c r="C227">
        <v>880055</v>
      </c>
      <c r="D227" s="2">
        <v>44658.509027777778</v>
      </c>
      <c r="E227" t="s">
        <v>118</v>
      </c>
      <c r="G227">
        <v>0</v>
      </c>
      <c r="H227">
        <v>0</v>
      </c>
      <c r="I227">
        <v>154.63999999999999</v>
      </c>
      <c r="J227" t="s">
        <v>186</v>
      </c>
      <c r="K227">
        <v>-154.63999999999999</v>
      </c>
      <c r="L227">
        <v>-435.74</v>
      </c>
      <c r="N227">
        <v>1</v>
      </c>
      <c r="O227">
        <v>6045</v>
      </c>
    </row>
    <row r="228" spans="1:15" x14ac:dyDescent="0.25">
      <c r="A228" s="2">
        <v>44658</v>
      </c>
      <c r="B228" t="s">
        <v>28</v>
      </c>
      <c r="C228">
        <v>880055</v>
      </c>
      <c r="D228" s="2">
        <v>44658.509027777778</v>
      </c>
      <c r="E228" t="s">
        <v>117</v>
      </c>
      <c r="F228" t="s">
        <v>183</v>
      </c>
      <c r="G228">
        <v>346266</v>
      </c>
      <c r="H228">
        <v>12.98</v>
      </c>
      <c r="I228">
        <v>0</v>
      </c>
      <c r="J228" t="s">
        <v>187</v>
      </c>
      <c r="K228">
        <v>12.98</v>
      </c>
      <c r="L228">
        <v>-422.76</v>
      </c>
      <c r="N228">
        <v>1</v>
      </c>
      <c r="O228">
        <v>6045</v>
      </c>
    </row>
    <row r="229" spans="1:15" x14ac:dyDescent="0.25">
      <c r="A229" s="2">
        <v>44658</v>
      </c>
      <c r="B229" t="s">
        <v>28</v>
      </c>
      <c r="C229">
        <v>880097</v>
      </c>
      <c r="D229" s="2">
        <v>44658.547222222223</v>
      </c>
      <c r="E229" t="s">
        <v>119</v>
      </c>
      <c r="F229" t="s">
        <v>184</v>
      </c>
      <c r="G229">
        <v>261181</v>
      </c>
      <c r="H229">
        <v>416.76</v>
      </c>
      <c r="I229">
        <v>0</v>
      </c>
      <c r="J229" t="s">
        <v>188</v>
      </c>
      <c r="K229">
        <v>416.76</v>
      </c>
      <c r="L229">
        <v>-6</v>
      </c>
      <c r="N229">
        <v>1</v>
      </c>
      <c r="O229">
        <v>6045</v>
      </c>
    </row>
    <row r="230" spans="1:15" x14ac:dyDescent="0.25">
      <c r="A230" s="2">
        <v>44679</v>
      </c>
      <c r="B230" t="s">
        <v>28</v>
      </c>
      <c r="C230">
        <v>884442</v>
      </c>
      <c r="D230" s="2">
        <v>44679.022222222222</v>
      </c>
      <c r="E230" t="s">
        <v>120</v>
      </c>
      <c r="F230" t="s">
        <v>183</v>
      </c>
      <c r="G230">
        <v>348905</v>
      </c>
      <c r="H230">
        <v>6</v>
      </c>
      <c r="I230">
        <v>0</v>
      </c>
      <c r="J230" t="s">
        <v>185</v>
      </c>
      <c r="K230">
        <v>6</v>
      </c>
      <c r="L230">
        <v>6</v>
      </c>
      <c r="N230">
        <v>1</v>
      </c>
      <c r="O230">
        <v>6045</v>
      </c>
    </row>
    <row r="231" spans="1:15" x14ac:dyDescent="0.25">
      <c r="A231" s="2">
        <v>44691</v>
      </c>
      <c r="B231" t="s">
        <v>28</v>
      </c>
      <c r="C231">
        <v>886931</v>
      </c>
      <c r="D231" s="2">
        <v>44691.475694444453</v>
      </c>
      <c r="E231" t="s">
        <v>116</v>
      </c>
      <c r="G231">
        <v>0</v>
      </c>
      <c r="H231">
        <v>0</v>
      </c>
      <c r="I231">
        <v>193.12</v>
      </c>
      <c r="J231" t="s">
        <v>186</v>
      </c>
      <c r="K231">
        <v>-193.12</v>
      </c>
      <c r="L231">
        <v>-187.12</v>
      </c>
      <c r="N231">
        <v>1</v>
      </c>
      <c r="O231">
        <v>6045</v>
      </c>
    </row>
    <row r="232" spans="1:15" x14ac:dyDescent="0.25">
      <c r="A232" s="2">
        <v>44691</v>
      </c>
      <c r="B232" t="s">
        <v>28</v>
      </c>
      <c r="C232">
        <v>886931</v>
      </c>
      <c r="D232" s="2">
        <v>44691.475694444453</v>
      </c>
      <c r="E232" t="s">
        <v>117</v>
      </c>
      <c r="F232" t="s">
        <v>183</v>
      </c>
      <c r="G232">
        <v>350580</v>
      </c>
      <c r="H232">
        <v>16.22</v>
      </c>
      <c r="I232">
        <v>0</v>
      </c>
      <c r="J232" t="s">
        <v>187</v>
      </c>
      <c r="K232">
        <v>16.22</v>
      </c>
      <c r="L232">
        <v>-170.9</v>
      </c>
      <c r="N232">
        <v>1</v>
      </c>
      <c r="O232">
        <v>6045</v>
      </c>
    </row>
    <row r="233" spans="1:15" x14ac:dyDescent="0.25">
      <c r="A233" s="2">
        <v>44691</v>
      </c>
      <c r="B233" t="s">
        <v>28</v>
      </c>
      <c r="C233">
        <v>886931</v>
      </c>
      <c r="D233" s="2">
        <v>44691.475694444453</v>
      </c>
      <c r="E233" t="s">
        <v>121</v>
      </c>
      <c r="G233">
        <v>0</v>
      </c>
      <c r="H233">
        <v>0</v>
      </c>
      <c r="I233">
        <v>268.39999999999998</v>
      </c>
      <c r="J233" t="s">
        <v>186</v>
      </c>
      <c r="K233">
        <v>-268.39999999999998</v>
      </c>
      <c r="L233">
        <v>-439.3</v>
      </c>
      <c r="N233">
        <v>1</v>
      </c>
      <c r="O233">
        <v>6045</v>
      </c>
    </row>
    <row r="234" spans="1:15" x14ac:dyDescent="0.25">
      <c r="A234" s="2">
        <v>44691</v>
      </c>
      <c r="B234" t="s">
        <v>28</v>
      </c>
      <c r="C234">
        <v>886931</v>
      </c>
      <c r="D234" s="2">
        <v>44691.475694444453</v>
      </c>
      <c r="E234" t="s">
        <v>117</v>
      </c>
      <c r="F234" t="s">
        <v>183</v>
      </c>
      <c r="G234">
        <v>350580</v>
      </c>
      <c r="H234">
        <v>22.55</v>
      </c>
      <c r="I234">
        <v>0</v>
      </c>
      <c r="J234" t="s">
        <v>187</v>
      </c>
      <c r="K234">
        <v>22.55</v>
      </c>
      <c r="L234">
        <v>-416.75</v>
      </c>
      <c r="N234">
        <v>1</v>
      </c>
      <c r="O234">
        <v>6045</v>
      </c>
    </row>
    <row r="235" spans="1:15" x14ac:dyDescent="0.25">
      <c r="A235" s="2">
        <v>44691</v>
      </c>
      <c r="B235" t="s">
        <v>28</v>
      </c>
      <c r="C235">
        <v>886961</v>
      </c>
      <c r="D235" s="2">
        <v>44691.477777777778</v>
      </c>
      <c r="E235" t="s">
        <v>119</v>
      </c>
      <c r="F235" t="s">
        <v>184</v>
      </c>
      <c r="G235">
        <v>264094</v>
      </c>
      <c r="H235">
        <v>416.75</v>
      </c>
      <c r="I235">
        <v>0</v>
      </c>
      <c r="J235" t="s">
        <v>188</v>
      </c>
      <c r="K235">
        <v>416.75</v>
      </c>
      <c r="L235">
        <v>0</v>
      </c>
      <c r="N235">
        <v>1</v>
      </c>
      <c r="O235">
        <v>6045</v>
      </c>
    </row>
    <row r="236" spans="1:15" x14ac:dyDescent="0.25">
      <c r="A236" s="2">
        <v>44709</v>
      </c>
      <c r="B236" t="s">
        <v>28</v>
      </c>
      <c r="C236">
        <v>890834</v>
      </c>
      <c r="D236" s="2">
        <v>44709.022222222222</v>
      </c>
      <c r="E236" t="s">
        <v>120</v>
      </c>
      <c r="F236" t="s">
        <v>183</v>
      </c>
      <c r="G236">
        <v>352935</v>
      </c>
      <c r="H236">
        <v>6</v>
      </c>
      <c r="I236">
        <v>0</v>
      </c>
      <c r="J236" t="s">
        <v>185</v>
      </c>
      <c r="K236">
        <v>6</v>
      </c>
      <c r="L236">
        <v>6</v>
      </c>
      <c r="N236">
        <v>1</v>
      </c>
      <c r="O236">
        <v>6045</v>
      </c>
    </row>
    <row r="237" spans="1:15" x14ac:dyDescent="0.25">
      <c r="A237" s="2">
        <v>44713</v>
      </c>
      <c r="B237" t="s">
        <v>28</v>
      </c>
      <c r="C237">
        <v>891715</v>
      </c>
      <c r="D237" s="2">
        <v>44713.456944444442</v>
      </c>
      <c r="E237" t="s">
        <v>121</v>
      </c>
      <c r="G237">
        <v>0</v>
      </c>
      <c r="H237">
        <v>0</v>
      </c>
      <c r="I237">
        <v>231.6</v>
      </c>
      <c r="J237" t="s">
        <v>186</v>
      </c>
      <c r="K237">
        <v>-231.6</v>
      </c>
      <c r="L237">
        <v>-225.6</v>
      </c>
      <c r="N237">
        <v>1</v>
      </c>
      <c r="O237">
        <v>6045</v>
      </c>
    </row>
    <row r="238" spans="1:15" x14ac:dyDescent="0.25">
      <c r="A238" s="2">
        <v>44713</v>
      </c>
      <c r="B238" t="s">
        <v>28</v>
      </c>
      <c r="C238">
        <v>891715</v>
      </c>
      <c r="D238" s="2">
        <v>44713.456944444442</v>
      </c>
      <c r="E238" t="s">
        <v>117</v>
      </c>
      <c r="F238" t="s">
        <v>183</v>
      </c>
      <c r="G238">
        <v>353524</v>
      </c>
      <c r="H238">
        <v>19.45</v>
      </c>
      <c r="I238">
        <v>0</v>
      </c>
      <c r="J238" t="s">
        <v>187</v>
      </c>
      <c r="K238">
        <v>19.45</v>
      </c>
      <c r="L238">
        <v>-206.15</v>
      </c>
      <c r="N238">
        <v>1</v>
      </c>
      <c r="O238">
        <v>6045</v>
      </c>
    </row>
    <row r="239" spans="1:15" x14ac:dyDescent="0.25">
      <c r="A239" s="2">
        <v>44713</v>
      </c>
      <c r="B239" t="s">
        <v>28</v>
      </c>
      <c r="C239">
        <v>891743</v>
      </c>
      <c r="D239" s="2">
        <v>44713.459027777782</v>
      </c>
      <c r="E239" t="s">
        <v>119</v>
      </c>
      <c r="F239" t="s">
        <v>184</v>
      </c>
      <c r="G239">
        <v>266249</v>
      </c>
      <c r="H239">
        <v>206.15</v>
      </c>
      <c r="I239">
        <v>0</v>
      </c>
      <c r="J239" t="s">
        <v>188</v>
      </c>
      <c r="K239">
        <v>206.15</v>
      </c>
      <c r="L239">
        <v>0</v>
      </c>
      <c r="N239">
        <v>1</v>
      </c>
      <c r="O239">
        <v>6045</v>
      </c>
    </row>
    <row r="240" spans="1:15" x14ac:dyDescent="0.25">
      <c r="A240" s="2">
        <v>44718</v>
      </c>
      <c r="B240" t="s">
        <v>28</v>
      </c>
      <c r="C240">
        <v>892290</v>
      </c>
      <c r="D240" s="2">
        <v>44718.53125</v>
      </c>
      <c r="E240" t="s">
        <v>122</v>
      </c>
      <c r="G240">
        <v>0</v>
      </c>
      <c r="H240">
        <v>0</v>
      </c>
      <c r="I240">
        <v>229.92</v>
      </c>
      <c r="J240" t="s">
        <v>186</v>
      </c>
      <c r="K240">
        <v>-229.92</v>
      </c>
      <c r="L240">
        <v>-229.92</v>
      </c>
      <c r="N240">
        <v>1</v>
      </c>
      <c r="O240">
        <v>6045</v>
      </c>
    </row>
    <row r="241" spans="1:15" x14ac:dyDescent="0.25">
      <c r="A241" s="2">
        <v>44718</v>
      </c>
      <c r="B241" t="s">
        <v>28</v>
      </c>
      <c r="C241">
        <v>892290</v>
      </c>
      <c r="D241" s="2">
        <v>44718.53125</v>
      </c>
      <c r="E241" t="s">
        <v>117</v>
      </c>
      <c r="F241" t="s">
        <v>183</v>
      </c>
      <c r="G241">
        <v>353922</v>
      </c>
      <c r="H241">
        <v>19.309999999999999</v>
      </c>
      <c r="I241">
        <v>0</v>
      </c>
      <c r="J241" t="s">
        <v>187</v>
      </c>
      <c r="K241">
        <v>19.309999999999999</v>
      </c>
      <c r="L241">
        <v>-210.61</v>
      </c>
      <c r="N241">
        <v>1</v>
      </c>
      <c r="O241">
        <v>6045</v>
      </c>
    </row>
    <row r="242" spans="1:15" x14ac:dyDescent="0.25">
      <c r="A242" s="2">
        <v>44718</v>
      </c>
      <c r="B242" t="s">
        <v>28</v>
      </c>
      <c r="C242">
        <v>892319</v>
      </c>
      <c r="D242" s="2">
        <v>44718.533333333333</v>
      </c>
      <c r="E242" t="s">
        <v>119</v>
      </c>
      <c r="F242" t="s">
        <v>184</v>
      </c>
      <c r="G242">
        <v>266527</v>
      </c>
      <c r="H242">
        <v>210.61</v>
      </c>
      <c r="I242">
        <v>0</v>
      </c>
      <c r="J242" t="s">
        <v>188</v>
      </c>
      <c r="K242">
        <v>210.61</v>
      </c>
      <c r="L242">
        <v>0</v>
      </c>
      <c r="N242">
        <v>1</v>
      </c>
      <c r="O242">
        <v>6045</v>
      </c>
    </row>
    <row r="243" spans="1:15" x14ac:dyDescent="0.25">
      <c r="A243" s="2">
        <v>44740</v>
      </c>
      <c r="B243" t="s">
        <v>28</v>
      </c>
      <c r="C243">
        <v>896912</v>
      </c>
      <c r="D243" s="2">
        <v>44740.022222222222</v>
      </c>
      <c r="E243" t="s">
        <v>120</v>
      </c>
      <c r="F243" t="s">
        <v>183</v>
      </c>
      <c r="G243">
        <v>356722</v>
      </c>
      <c r="H243">
        <v>6</v>
      </c>
      <c r="I243">
        <v>0</v>
      </c>
      <c r="J243" t="s">
        <v>185</v>
      </c>
      <c r="K243">
        <v>6</v>
      </c>
      <c r="L243">
        <v>6</v>
      </c>
      <c r="N243">
        <v>1</v>
      </c>
      <c r="O243">
        <v>6045</v>
      </c>
    </row>
    <row r="244" spans="1:15" x14ac:dyDescent="0.25">
      <c r="A244" s="2">
        <v>44740</v>
      </c>
      <c r="B244" t="s">
        <v>28</v>
      </c>
      <c r="C244">
        <v>897182</v>
      </c>
      <c r="D244" s="2">
        <v>44740.519444444442</v>
      </c>
      <c r="E244" t="s">
        <v>122</v>
      </c>
      <c r="G244">
        <v>0</v>
      </c>
      <c r="H244">
        <v>0</v>
      </c>
      <c r="I244">
        <v>270.08</v>
      </c>
      <c r="J244" t="s">
        <v>186</v>
      </c>
      <c r="K244">
        <v>-270.08</v>
      </c>
      <c r="L244">
        <v>-264.08</v>
      </c>
      <c r="N244">
        <v>1</v>
      </c>
      <c r="O244">
        <v>6045</v>
      </c>
    </row>
    <row r="245" spans="1:15" x14ac:dyDescent="0.25">
      <c r="A245" s="2">
        <v>44740</v>
      </c>
      <c r="B245" t="s">
        <v>28</v>
      </c>
      <c r="C245">
        <v>897182</v>
      </c>
      <c r="D245" s="2">
        <v>44740.519444444442</v>
      </c>
      <c r="E245" t="s">
        <v>117</v>
      </c>
      <c r="F245" t="s">
        <v>183</v>
      </c>
      <c r="G245">
        <v>357020</v>
      </c>
      <c r="H245">
        <v>22.69</v>
      </c>
      <c r="I245">
        <v>0</v>
      </c>
      <c r="J245" t="s">
        <v>187</v>
      </c>
      <c r="K245">
        <v>22.69</v>
      </c>
      <c r="L245">
        <v>-241.39</v>
      </c>
      <c r="N245">
        <v>1</v>
      </c>
      <c r="O245">
        <v>6045</v>
      </c>
    </row>
    <row r="246" spans="1:15" x14ac:dyDescent="0.25">
      <c r="A246" s="2">
        <v>44740</v>
      </c>
      <c r="B246" t="s">
        <v>28</v>
      </c>
      <c r="C246">
        <v>897206</v>
      </c>
      <c r="D246" s="2">
        <v>44740.520138888889</v>
      </c>
      <c r="E246" t="s">
        <v>119</v>
      </c>
      <c r="F246" t="s">
        <v>184</v>
      </c>
      <c r="G246">
        <v>268740</v>
      </c>
      <c r="H246">
        <v>241.39</v>
      </c>
      <c r="I246">
        <v>0</v>
      </c>
      <c r="J246" t="s">
        <v>188</v>
      </c>
      <c r="K246">
        <v>241.39</v>
      </c>
      <c r="L246">
        <v>0</v>
      </c>
      <c r="N246">
        <v>1</v>
      </c>
      <c r="O246">
        <v>6045</v>
      </c>
    </row>
    <row r="247" spans="1:15" x14ac:dyDescent="0.25">
      <c r="A247" s="2">
        <v>44746</v>
      </c>
      <c r="B247" t="s">
        <v>28</v>
      </c>
      <c r="C247">
        <v>898070</v>
      </c>
      <c r="D247" s="2">
        <v>44746.395138888889</v>
      </c>
      <c r="E247" t="s">
        <v>123</v>
      </c>
      <c r="G247">
        <v>0</v>
      </c>
      <c r="H247">
        <v>0</v>
      </c>
      <c r="I247">
        <v>191.44</v>
      </c>
      <c r="J247" t="s">
        <v>186</v>
      </c>
      <c r="K247">
        <v>-191.44</v>
      </c>
      <c r="L247">
        <v>-191.44</v>
      </c>
      <c r="N247">
        <v>1</v>
      </c>
      <c r="O247">
        <v>6045</v>
      </c>
    </row>
    <row r="248" spans="1:15" x14ac:dyDescent="0.25">
      <c r="A248" s="2">
        <v>44746</v>
      </c>
      <c r="B248" t="s">
        <v>28</v>
      </c>
      <c r="C248">
        <v>898070</v>
      </c>
      <c r="D248" s="2">
        <v>44746.395138888889</v>
      </c>
      <c r="E248" t="s">
        <v>117</v>
      </c>
      <c r="F248" t="s">
        <v>183</v>
      </c>
      <c r="G248">
        <v>357510</v>
      </c>
      <c r="H248">
        <v>16.079999999999998</v>
      </c>
      <c r="I248">
        <v>0</v>
      </c>
      <c r="J248" t="s">
        <v>187</v>
      </c>
      <c r="K248">
        <v>16.079999999999998</v>
      </c>
      <c r="L248">
        <v>-175.36</v>
      </c>
      <c r="N248">
        <v>1</v>
      </c>
      <c r="O248">
        <v>6045</v>
      </c>
    </row>
    <row r="249" spans="1:15" x14ac:dyDescent="0.25">
      <c r="A249" s="2">
        <v>44746</v>
      </c>
      <c r="B249" t="s">
        <v>28</v>
      </c>
      <c r="C249">
        <v>898071</v>
      </c>
      <c r="D249" s="2">
        <v>44746.396527777782</v>
      </c>
      <c r="E249" t="s">
        <v>119</v>
      </c>
      <c r="F249" t="s">
        <v>184</v>
      </c>
      <c r="G249">
        <v>269087</v>
      </c>
      <c r="H249">
        <v>175.36</v>
      </c>
      <c r="I249">
        <v>0</v>
      </c>
      <c r="J249" t="s">
        <v>188</v>
      </c>
      <c r="K249">
        <v>175.36</v>
      </c>
      <c r="L249">
        <v>0</v>
      </c>
      <c r="N249">
        <v>1</v>
      </c>
      <c r="O249">
        <v>6045</v>
      </c>
    </row>
    <row r="250" spans="1:15" x14ac:dyDescent="0.25">
      <c r="A250" s="2">
        <v>44768</v>
      </c>
      <c r="B250" t="s">
        <v>28</v>
      </c>
      <c r="C250">
        <v>903373</v>
      </c>
      <c r="D250" s="2">
        <v>44768.462500000001</v>
      </c>
      <c r="E250" t="s">
        <v>123</v>
      </c>
      <c r="G250">
        <v>0</v>
      </c>
      <c r="H250">
        <v>0</v>
      </c>
      <c r="I250">
        <v>308.56</v>
      </c>
      <c r="J250" t="s">
        <v>186</v>
      </c>
      <c r="K250">
        <v>-308.56</v>
      </c>
      <c r="L250">
        <v>-308.56</v>
      </c>
      <c r="N250">
        <v>1</v>
      </c>
      <c r="O250">
        <v>6045</v>
      </c>
    </row>
    <row r="251" spans="1:15" x14ac:dyDescent="0.25">
      <c r="A251" s="2">
        <v>44768</v>
      </c>
      <c r="B251" t="s">
        <v>28</v>
      </c>
      <c r="C251">
        <v>903373</v>
      </c>
      <c r="D251" s="2">
        <v>44768.462500000001</v>
      </c>
      <c r="E251" t="s">
        <v>117</v>
      </c>
      <c r="F251" t="s">
        <v>183</v>
      </c>
      <c r="G251">
        <v>359964</v>
      </c>
      <c r="H251">
        <v>25.92</v>
      </c>
      <c r="I251">
        <v>0</v>
      </c>
      <c r="J251" t="s">
        <v>187</v>
      </c>
      <c r="K251">
        <v>25.92</v>
      </c>
      <c r="L251">
        <v>-282.64</v>
      </c>
      <c r="N251">
        <v>1</v>
      </c>
      <c r="O251">
        <v>6045</v>
      </c>
    </row>
    <row r="252" spans="1:15" x14ac:dyDescent="0.25">
      <c r="A252" s="2">
        <v>44768</v>
      </c>
      <c r="B252" t="s">
        <v>28</v>
      </c>
      <c r="C252">
        <v>903398</v>
      </c>
      <c r="D252" s="2">
        <v>44768.463888888888</v>
      </c>
      <c r="E252" t="s">
        <v>119</v>
      </c>
      <c r="F252" t="s">
        <v>184</v>
      </c>
      <c r="G252">
        <v>271507</v>
      </c>
      <c r="H252">
        <v>282.64</v>
      </c>
      <c r="I252">
        <v>0</v>
      </c>
      <c r="J252" t="s">
        <v>188</v>
      </c>
      <c r="K252">
        <v>282.64</v>
      </c>
      <c r="L252">
        <v>0</v>
      </c>
      <c r="N252">
        <v>1</v>
      </c>
      <c r="O252">
        <v>6045</v>
      </c>
    </row>
    <row r="253" spans="1:15" x14ac:dyDescent="0.25">
      <c r="A253" s="2">
        <v>44770</v>
      </c>
      <c r="B253" t="s">
        <v>28</v>
      </c>
      <c r="C253">
        <v>903686</v>
      </c>
      <c r="D253" s="2">
        <v>44770.022222222222</v>
      </c>
      <c r="E253" t="s">
        <v>120</v>
      </c>
      <c r="F253" t="s">
        <v>183</v>
      </c>
      <c r="G253">
        <v>360765</v>
      </c>
      <c r="H253">
        <v>6</v>
      </c>
      <c r="I253">
        <v>0</v>
      </c>
      <c r="J253" t="s">
        <v>185</v>
      </c>
      <c r="K253">
        <v>6</v>
      </c>
      <c r="L253">
        <v>6</v>
      </c>
      <c r="N253">
        <v>0</v>
      </c>
      <c r="O253">
        <v>6045</v>
      </c>
    </row>
    <row r="254" spans="1:15" x14ac:dyDescent="0.25">
      <c r="A254" s="2">
        <v>44712</v>
      </c>
      <c r="B254" t="s">
        <v>29</v>
      </c>
      <c r="C254">
        <v>891405</v>
      </c>
      <c r="D254" s="2">
        <v>44712.492361111108</v>
      </c>
      <c r="E254" t="s">
        <v>124</v>
      </c>
      <c r="G254">
        <v>0</v>
      </c>
      <c r="H254">
        <v>0</v>
      </c>
      <c r="I254">
        <v>328.84</v>
      </c>
      <c r="J254" t="s">
        <v>186</v>
      </c>
      <c r="K254">
        <v>-328.84</v>
      </c>
      <c r="L254">
        <v>-328.84</v>
      </c>
      <c r="N254">
        <v>1</v>
      </c>
      <c r="O254">
        <v>3072</v>
      </c>
    </row>
    <row r="255" spans="1:15" x14ac:dyDescent="0.25">
      <c r="A255" s="2">
        <v>44712</v>
      </c>
      <c r="B255" t="s">
        <v>29</v>
      </c>
      <c r="C255">
        <v>891429</v>
      </c>
      <c r="D255" s="2">
        <v>44712.504861111112</v>
      </c>
      <c r="E255" t="s">
        <v>125</v>
      </c>
      <c r="F255" t="s">
        <v>184</v>
      </c>
      <c r="G255">
        <v>266119</v>
      </c>
      <c r="H255">
        <v>328.84</v>
      </c>
      <c r="I255">
        <v>0</v>
      </c>
      <c r="J255" t="s">
        <v>188</v>
      </c>
      <c r="K255">
        <v>328.84</v>
      </c>
      <c r="L255">
        <v>0</v>
      </c>
      <c r="N255">
        <v>1</v>
      </c>
      <c r="O255">
        <v>3072</v>
      </c>
    </row>
    <row r="256" spans="1:15" x14ac:dyDescent="0.25">
      <c r="A256" s="2">
        <v>44712</v>
      </c>
      <c r="B256" t="s">
        <v>29</v>
      </c>
      <c r="C256">
        <v>891445</v>
      </c>
      <c r="D256" s="2">
        <v>44712.557638888888</v>
      </c>
      <c r="E256" t="s">
        <v>124</v>
      </c>
      <c r="G256">
        <v>0</v>
      </c>
      <c r="H256">
        <v>0</v>
      </c>
      <c r="I256">
        <v>196.16</v>
      </c>
      <c r="J256" t="s">
        <v>186</v>
      </c>
      <c r="K256">
        <v>-196.16</v>
      </c>
      <c r="L256">
        <v>-196.16</v>
      </c>
      <c r="N256">
        <v>1</v>
      </c>
      <c r="O256">
        <v>3072</v>
      </c>
    </row>
    <row r="257" spans="1:15" x14ac:dyDescent="0.25">
      <c r="A257" s="2">
        <v>44712</v>
      </c>
      <c r="B257" t="s">
        <v>29</v>
      </c>
      <c r="C257">
        <v>891446</v>
      </c>
      <c r="D257" s="2">
        <v>44712.557638888888</v>
      </c>
      <c r="E257" t="s">
        <v>125</v>
      </c>
      <c r="F257" t="s">
        <v>184</v>
      </c>
      <c r="G257">
        <v>266136</v>
      </c>
      <c r="H257">
        <v>196.16</v>
      </c>
      <c r="I257">
        <v>0</v>
      </c>
      <c r="J257" t="s">
        <v>188</v>
      </c>
      <c r="K257">
        <v>196.16</v>
      </c>
      <c r="L257">
        <v>0</v>
      </c>
      <c r="N257">
        <v>1</v>
      </c>
      <c r="O257">
        <v>3072</v>
      </c>
    </row>
    <row r="258" spans="1:15" x14ac:dyDescent="0.25">
      <c r="A258" s="2">
        <v>44740</v>
      </c>
      <c r="B258" t="s">
        <v>30</v>
      </c>
      <c r="C258">
        <v>896912</v>
      </c>
      <c r="D258" s="2">
        <v>44740.022222222222</v>
      </c>
      <c r="E258" t="s">
        <v>126</v>
      </c>
      <c r="F258" t="s">
        <v>183</v>
      </c>
      <c r="G258">
        <v>356708</v>
      </c>
      <c r="H258">
        <v>6</v>
      </c>
      <c r="I258">
        <v>0</v>
      </c>
      <c r="J258" t="s">
        <v>185</v>
      </c>
      <c r="K258">
        <v>6</v>
      </c>
      <c r="L258">
        <v>6</v>
      </c>
      <c r="N258">
        <v>0</v>
      </c>
    </row>
    <row r="259" spans="1:15" x14ac:dyDescent="0.25">
      <c r="A259" s="2">
        <v>44658</v>
      </c>
      <c r="B259" t="s">
        <v>31</v>
      </c>
      <c r="C259">
        <v>880056</v>
      </c>
      <c r="D259" s="2">
        <v>44658.509027777778</v>
      </c>
      <c r="E259" t="s">
        <v>127</v>
      </c>
      <c r="G259">
        <v>0</v>
      </c>
      <c r="H259">
        <v>0</v>
      </c>
      <c r="I259">
        <v>172.2</v>
      </c>
      <c r="J259" t="s">
        <v>186</v>
      </c>
      <c r="K259">
        <v>-172.2</v>
      </c>
      <c r="L259">
        <v>-172.2</v>
      </c>
      <c r="N259">
        <v>1</v>
      </c>
      <c r="O259">
        <v>6045</v>
      </c>
    </row>
    <row r="260" spans="1:15" x14ac:dyDescent="0.25">
      <c r="A260" s="2">
        <v>44658</v>
      </c>
      <c r="B260" t="s">
        <v>31</v>
      </c>
      <c r="C260">
        <v>880056</v>
      </c>
      <c r="D260" s="2">
        <v>44658.509027777778</v>
      </c>
      <c r="E260" t="s">
        <v>128</v>
      </c>
      <c r="F260" t="s">
        <v>183</v>
      </c>
      <c r="G260">
        <v>346267</v>
      </c>
      <c r="H260">
        <v>14.46</v>
      </c>
      <c r="I260">
        <v>0</v>
      </c>
      <c r="J260" t="s">
        <v>187</v>
      </c>
      <c r="K260">
        <v>14.46</v>
      </c>
      <c r="L260">
        <v>-157.74</v>
      </c>
      <c r="N260">
        <v>1</v>
      </c>
      <c r="O260">
        <v>6045</v>
      </c>
    </row>
    <row r="261" spans="1:15" x14ac:dyDescent="0.25">
      <c r="A261" s="2">
        <v>44658</v>
      </c>
      <c r="B261" t="s">
        <v>31</v>
      </c>
      <c r="C261">
        <v>880097</v>
      </c>
      <c r="D261" s="2">
        <v>44658.547222222223</v>
      </c>
      <c r="E261" t="s">
        <v>129</v>
      </c>
      <c r="F261" t="s">
        <v>184</v>
      </c>
      <c r="G261">
        <v>261182</v>
      </c>
      <c r="H261">
        <v>151.74</v>
      </c>
      <c r="I261">
        <v>0</v>
      </c>
      <c r="J261" t="s">
        <v>188</v>
      </c>
      <c r="K261">
        <v>151.74</v>
      </c>
      <c r="L261">
        <v>-6</v>
      </c>
      <c r="N261">
        <v>1</v>
      </c>
      <c r="O261">
        <v>6045</v>
      </c>
    </row>
    <row r="262" spans="1:15" x14ac:dyDescent="0.25">
      <c r="A262" s="2">
        <v>44665</v>
      </c>
      <c r="B262" t="s">
        <v>31</v>
      </c>
      <c r="C262">
        <v>881460</v>
      </c>
      <c r="D262" s="2">
        <v>44665.51666666667</v>
      </c>
      <c r="E262" t="s">
        <v>130</v>
      </c>
      <c r="G262">
        <v>0</v>
      </c>
      <c r="H262">
        <v>0</v>
      </c>
      <c r="I262">
        <v>243.2</v>
      </c>
      <c r="J262" t="s">
        <v>186</v>
      </c>
      <c r="K262">
        <v>-243.2</v>
      </c>
      <c r="L262">
        <v>-243.2</v>
      </c>
      <c r="N262">
        <v>1</v>
      </c>
      <c r="O262">
        <v>6045</v>
      </c>
    </row>
    <row r="263" spans="1:15" x14ac:dyDescent="0.25">
      <c r="A263" s="2">
        <v>44665</v>
      </c>
      <c r="B263" t="s">
        <v>31</v>
      </c>
      <c r="C263">
        <v>881460</v>
      </c>
      <c r="D263" s="2">
        <v>44665.51666666667</v>
      </c>
      <c r="E263" t="s">
        <v>128</v>
      </c>
      <c r="F263" t="s">
        <v>183</v>
      </c>
      <c r="G263">
        <v>346953</v>
      </c>
      <c r="H263">
        <v>20.420000000000002</v>
      </c>
      <c r="I263">
        <v>0</v>
      </c>
      <c r="J263" t="s">
        <v>187</v>
      </c>
      <c r="K263">
        <v>20.420000000000002</v>
      </c>
      <c r="L263">
        <v>-222.78</v>
      </c>
      <c r="N263">
        <v>1</v>
      </c>
      <c r="O263">
        <v>6045</v>
      </c>
    </row>
    <row r="264" spans="1:15" x14ac:dyDescent="0.25">
      <c r="A264" s="2">
        <v>44665</v>
      </c>
      <c r="B264" t="s">
        <v>31</v>
      </c>
      <c r="C264">
        <v>881467</v>
      </c>
      <c r="D264" s="2">
        <v>44665.517361111109</v>
      </c>
      <c r="E264" t="s">
        <v>129</v>
      </c>
      <c r="F264" t="s">
        <v>184</v>
      </c>
      <c r="G264">
        <v>261864</v>
      </c>
      <c r="H264">
        <v>222.78</v>
      </c>
      <c r="I264">
        <v>0</v>
      </c>
      <c r="J264" t="s">
        <v>188</v>
      </c>
      <c r="K264">
        <v>222.78</v>
      </c>
      <c r="L264">
        <v>0</v>
      </c>
      <c r="N264">
        <v>1</v>
      </c>
      <c r="O264">
        <v>6045</v>
      </c>
    </row>
    <row r="265" spans="1:15" x14ac:dyDescent="0.25">
      <c r="A265" s="2">
        <v>44679</v>
      </c>
      <c r="B265" t="s">
        <v>31</v>
      </c>
      <c r="C265">
        <v>884442</v>
      </c>
      <c r="D265" s="2">
        <v>44679.022222222222</v>
      </c>
      <c r="E265" t="s">
        <v>131</v>
      </c>
      <c r="F265" t="s">
        <v>183</v>
      </c>
      <c r="G265">
        <v>348893</v>
      </c>
      <c r="H265">
        <v>6</v>
      </c>
      <c r="I265">
        <v>0</v>
      </c>
      <c r="J265" t="s">
        <v>185</v>
      </c>
      <c r="K265">
        <v>6</v>
      </c>
      <c r="L265">
        <v>6</v>
      </c>
      <c r="N265">
        <v>1</v>
      </c>
      <c r="O265">
        <v>6045</v>
      </c>
    </row>
    <row r="266" spans="1:15" x14ac:dyDescent="0.25">
      <c r="A266" s="2">
        <v>44691</v>
      </c>
      <c r="B266" t="s">
        <v>31</v>
      </c>
      <c r="C266">
        <v>886938</v>
      </c>
      <c r="D266" s="2">
        <v>44691.475694444453</v>
      </c>
      <c r="E266" t="s">
        <v>130</v>
      </c>
      <c r="G266">
        <v>0</v>
      </c>
      <c r="H266">
        <v>0</v>
      </c>
      <c r="I266">
        <v>206.8</v>
      </c>
      <c r="J266" t="s">
        <v>186</v>
      </c>
      <c r="K266">
        <v>-206.8</v>
      </c>
      <c r="L266">
        <v>-200.8</v>
      </c>
      <c r="N266">
        <v>1</v>
      </c>
      <c r="O266">
        <v>6045</v>
      </c>
    </row>
    <row r="267" spans="1:15" x14ac:dyDescent="0.25">
      <c r="A267" s="2">
        <v>44691</v>
      </c>
      <c r="B267" t="s">
        <v>31</v>
      </c>
      <c r="C267">
        <v>886938</v>
      </c>
      <c r="D267" s="2">
        <v>44691.475694444453</v>
      </c>
      <c r="E267" t="s">
        <v>128</v>
      </c>
      <c r="F267" t="s">
        <v>183</v>
      </c>
      <c r="G267">
        <v>350587</v>
      </c>
      <c r="H267">
        <v>17.38</v>
      </c>
      <c r="I267">
        <v>0</v>
      </c>
      <c r="J267" t="s">
        <v>187</v>
      </c>
      <c r="K267">
        <v>17.38</v>
      </c>
      <c r="L267">
        <v>-183.42</v>
      </c>
      <c r="N267">
        <v>1</v>
      </c>
      <c r="O267">
        <v>6045</v>
      </c>
    </row>
    <row r="268" spans="1:15" x14ac:dyDescent="0.25">
      <c r="A268" s="2">
        <v>44691</v>
      </c>
      <c r="B268" t="s">
        <v>31</v>
      </c>
      <c r="C268">
        <v>886961</v>
      </c>
      <c r="D268" s="2">
        <v>44691.477777777778</v>
      </c>
      <c r="E268" t="s">
        <v>129</v>
      </c>
      <c r="F268" t="s">
        <v>184</v>
      </c>
      <c r="G268">
        <v>264101</v>
      </c>
      <c r="H268">
        <v>183.42</v>
      </c>
      <c r="I268">
        <v>0</v>
      </c>
      <c r="J268" t="s">
        <v>188</v>
      </c>
      <c r="K268">
        <v>183.42</v>
      </c>
      <c r="L268">
        <v>0</v>
      </c>
      <c r="N268">
        <v>1</v>
      </c>
      <c r="O268">
        <v>6045</v>
      </c>
    </row>
    <row r="269" spans="1:15" x14ac:dyDescent="0.25">
      <c r="A269" s="2">
        <v>44695</v>
      </c>
      <c r="B269" t="s">
        <v>31</v>
      </c>
      <c r="C269">
        <v>888021</v>
      </c>
      <c r="D269" s="2">
        <v>44695.424305555563</v>
      </c>
      <c r="E269" t="s">
        <v>132</v>
      </c>
      <c r="G269">
        <v>0</v>
      </c>
      <c r="H269">
        <v>0</v>
      </c>
      <c r="I269">
        <v>208.6</v>
      </c>
      <c r="J269" t="s">
        <v>186</v>
      </c>
      <c r="K269">
        <v>-208.6</v>
      </c>
      <c r="L269">
        <v>-208.6</v>
      </c>
      <c r="N269">
        <v>1</v>
      </c>
      <c r="O269">
        <v>6045</v>
      </c>
    </row>
    <row r="270" spans="1:15" x14ac:dyDescent="0.25">
      <c r="A270" s="2">
        <v>44695</v>
      </c>
      <c r="B270" t="s">
        <v>31</v>
      </c>
      <c r="C270">
        <v>888021</v>
      </c>
      <c r="D270" s="2">
        <v>44695.424305555563</v>
      </c>
      <c r="E270" t="s">
        <v>128</v>
      </c>
      <c r="F270" t="s">
        <v>183</v>
      </c>
      <c r="G270">
        <v>351006</v>
      </c>
      <c r="H270">
        <v>17.52</v>
      </c>
      <c r="I270">
        <v>0</v>
      </c>
      <c r="J270" t="s">
        <v>187</v>
      </c>
      <c r="K270">
        <v>17.52</v>
      </c>
      <c r="L270">
        <v>-191.08</v>
      </c>
      <c r="N270">
        <v>1</v>
      </c>
      <c r="O270">
        <v>6045</v>
      </c>
    </row>
    <row r="271" spans="1:15" x14ac:dyDescent="0.25">
      <c r="A271" s="2">
        <v>44695</v>
      </c>
      <c r="B271" t="s">
        <v>31</v>
      </c>
      <c r="C271">
        <v>888024</v>
      </c>
      <c r="D271" s="2">
        <v>44695.425694444442</v>
      </c>
      <c r="E271" t="s">
        <v>129</v>
      </c>
      <c r="F271" t="s">
        <v>184</v>
      </c>
      <c r="G271">
        <v>264540</v>
      </c>
      <c r="H271">
        <v>191.08</v>
      </c>
      <c r="I271">
        <v>0</v>
      </c>
      <c r="J271" t="s">
        <v>188</v>
      </c>
      <c r="K271">
        <v>191.08</v>
      </c>
      <c r="L271">
        <v>0</v>
      </c>
      <c r="N271">
        <v>1</v>
      </c>
      <c r="O271">
        <v>6045</v>
      </c>
    </row>
    <row r="272" spans="1:15" x14ac:dyDescent="0.25">
      <c r="A272" s="2">
        <v>44709</v>
      </c>
      <c r="B272" t="s">
        <v>31</v>
      </c>
      <c r="C272">
        <v>890834</v>
      </c>
      <c r="D272" s="2">
        <v>44709.022222222222</v>
      </c>
      <c r="E272" t="s">
        <v>131</v>
      </c>
      <c r="F272" t="s">
        <v>183</v>
      </c>
      <c r="G272">
        <v>352923</v>
      </c>
      <c r="H272">
        <v>6</v>
      </c>
      <c r="I272">
        <v>0</v>
      </c>
      <c r="J272" t="s">
        <v>185</v>
      </c>
      <c r="K272">
        <v>6</v>
      </c>
      <c r="L272">
        <v>6</v>
      </c>
      <c r="N272">
        <v>1</v>
      </c>
      <c r="O272">
        <v>6045</v>
      </c>
    </row>
    <row r="273" spans="1:15" x14ac:dyDescent="0.25">
      <c r="A273" s="2">
        <v>44713</v>
      </c>
      <c r="B273" t="s">
        <v>31</v>
      </c>
      <c r="C273">
        <v>891716</v>
      </c>
      <c r="D273" s="2">
        <v>44713.456944444442</v>
      </c>
      <c r="E273" t="s">
        <v>132</v>
      </c>
      <c r="G273">
        <v>0</v>
      </c>
      <c r="H273">
        <v>0</v>
      </c>
      <c r="I273">
        <v>241.4</v>
      </c>
      <c r="J273" t="s">
        <v>186</v>
      </c>
      <c r="K273">
        <v>-241.4</v>
      </c>
      <c r="L273">
        <v>-235.4</v>
      </c>
      <c r="N273">
        <v>1</v>
      </c>
      <c r="O273">
        <v>6045</v>
      </c>
    </row>
    <row r="274" spans="1:15" x14ac:dyDescent="0.25">
      <c r="A274" s="2">
        <v>44713</v>
      </c>
      <c r="B274" t="s">
        <v>31</v>
      </c>
      <c r="C274">
        <v>891716</v>
      </c>
      <c r="D274" s="2">
        <v>44713.456944444442</v>
      </c>
      <c r="E274" t="s">
        <v>128</v>
      </c>
      <c r="F274" t="s">
        <v>183</v>
      </c>
      <c r="G274">
        <v>353525</v>
      </c>
      <c r="H274">
        <v>20.28</v>
      </c>
      <c r="I274">
        <v>0</v>
      </c>
      <c r="J274" t="s">
        <v>187</v>
      </c>
      <c r="K274">
        <v>20.28</v>
      </c>
      <c r="L274">
        <v>-215.12</v>
      </c>
      <c r="N274">
        <v>1</v>
      </c>
      <c r="O274">
        <v>6045</v>
      </c>
    </row>
    <row r="275" spans="1:15" x14ac:dyDescent="0.25">
      <c r="A275" s="2">
        <v>44713</v>
      </c>
      <c r="B275" t="s">
        <v>31</v>
      </c>
      <c r="C275">
        <v>891743</v>
      </c>
      <c r="D275" s="2">
        <v>44713.459027777782</v>
      </c>
      <c r="E275" t="s">
        <v>129</v>
      </c>
      <c r="F275" t="s">
        <v>184</v>
      </c>
      <c r="G275">
        <v>266250</v>
      </c>
      <c r="H275">
        <v>215.12</v>
      </c>
      <c r="I275">
        <v>0</v>
      </c>
      <c r="J275" t="s">
        <v>188</v>
      </c>
      <c r="K275">
        <v>215.12</v>
      </c>
      <c r="L275">
        <v>0</v>
      </c>
      <c r="N275">
        <v>1</v>
      </c>
      <c r="O275">
        <v>6045</v>
      </c>
    </row>
    <row r="276" spans="1:15" x14ac:dyDescent="0.25">
      <c r="A276" s="2">
        <v>44726</v>
      </c>
      <c r="B276" t="s">
        <v>31</v>
      </c>
      <c r="C276">
        <v>894173</v>
      </c>
      <c r="D276" s="2">
        <v>44726.443749999999</v>
      </c>
      <c r="E276" t="s">
        <v>133</v>
      </c>
      <c r="G276">
        <v>0</v>
      </c>
      <c r="H276">
        <v>0</v>
      </c>
      <c r="I276">
        <v>174</v>
      </c>
      <c r="J276" t="s">
        <v>186</v>
      </c>
      <c r="K276">
        <v>-174</v>
      </c>
      <c r="L276">
        <v>-174</v>
      </c>
      <c r="N276">
        <v>1</v>
      </c>
      <c r="O276">
        <v>6045</v>
      </c>
    </row>
    <row r="277" spans="1:15" x14ac:dyDescent="0.25">
      <c r="A277" s="2">
        <v>44726</v>
      </c>
      <c r="B277" t="s">
        <v>31</v>
      </c>
      <c r="C277">
        <v>894173</v>
      </c>
      <c r="D277" s="2">
        <v>44726.443749999999</v>
      </c>
      <c r="E277" t="s">
        <v>128</v>
      </c>
      <c r="F277" t="s">
        <v>183</v>
      </c>
      <c r="G277">
        <v>354832</v>
      </c>
      <c r="H277">
        <v>14.62</v>
      </c>
      <c r="I277">
        <v>0</v>
      </c>
      <c r="J277" t="s">
        <v>187</v>
      </c>
      <c r="K277">
        <v>14.62</v>
      </c>
      <c r="L277">
        <v>-159.38</v>
      </c>
      <c r="N277">
        <v>1</v>
      </c>
      <c r="O277">
        <v>6045</v>
      </c>
    </row>
    <row r="278" spans="1:15" x14ac:dyDescent="0.25">
      <c r="A278" s="2">
        <v>44726</v>
      </c>
      <c r="B278" t="s">
        <v>31</v>
      </c>
      <c r="C278">
        <v>894181</v>
      </c>
      <c r="D278" s="2">
        <v>44726.445138888892</v>
      </c>
      <c r="E278" t="s">
        <v>129</v>
      </c>
      <c r="F278" t="s">
        <v>184</v>
      </c>
      <c r="G278">
        <v>267433</v>
      </c>
      <c r="H278">
        <v>159.38</v>
      </c>
      <c r="I278">
        <v>0</v>
      </c>
      <c r="J278" t="s">
        <v>188</v>
      </c>
      <c r="K278">
        <v>159.38</v>
      </c>
      <c r="L278">
        <v>0</v>
      </c>
      <c r="N278">
        <v>1</v>
      </c>
      <c r="O278">
        <v>6045</v>
      </c>
    </row>
    <row r="279" spans="1:15" x14ac:dyDescent="0.25">
      <c r="A279" s="2">
        <v>44740</v>
      </c>
      <c r="B279" t="s">
        <v>31</v>
      </c>
      <c r="C279">
        <v>896912</v>
      </c>
      <c r="D279" s="2">
        <v>44740.022222222222</v>
      </c>
      <c r="E279" t="s">
        <v>131</v>
      </c>
      <c r="F279" t="s">
        <v>183</v>
      </c>
      <c r="G279">
        <v>356711</v>
      </c>
      <c r="H279">
        <v>6</v>
      </c>
      <c r="I279">
        <v>0</v>
      </c>
      <c r="J279" t="s">
        <v>185</v>
      </c>
      <c r="K279">
        <v>6</v>
      </c>
      <c r="L279">
        <v>6</v>
      </c>
      <c r="N279">
        <v>1</v>
      </c>
      <c r="O279">
        <v>6045</v>
      </c>
    </row>
    <row r="280" spans="1:15" x14ac:dyDescent="0.25">
      <c r="A280" s="2">
        <v>44740</v>
      </c>
      <c r="B280" t="s">
        <v>31</v>
      </c>
      <c r="C280">
        <v>897187</v>
      </c>
      <c r="D280" s="2">
        <v>44740.519444444442</v>
      </c>
      <c r="E280" t="s">
        <v>133</v>
      </c>
      <c r="G280">
        <v>0</v>
      </c>
      <c r="H280">
        <v>0</v>
      </c>
      <c r="I280">
        <v>276</v>
      </c>
      <c r="J280" t="s">
        <v>186</v>
      </c>
      <c r="K280">
        <v>-276</v>
      </c>
      <c r="L280">
        <v>-270</v>
      </c>
      <c r="N280">
        <v>1</v>
      </c>
      <c r="O280">
        <v>6045</v>
      </c>
    </row>
    <row r="281" spans="1:15" x14ac:dyDescent="0.25">
      <c r="A281" s="2">
        <v>44740</v>
      </c>
      <c r="B281" t="s">
        <v>31</v>
      </c>
      <c r="C281">
        <v>897187</v>
      </c>
      <c r="D281" s="2">
        <v>44740.519444444442</v>
      </c>
      <c r="E281" t="s">
        <v>128</v>
      </c>
      <c r="F281" t="s">
        <v>183</v>
      </c>
      <c r="G281">
        <v>357025</v>
      </c>
      <c r="H281">
        <v>23.18</v>
      </c>
      <c r="I281">
        <v>0</v>
      </c>
      <c r="J281" t="s">
        <v>187</v>
      </c>
      <c r="K281">
        <v>23.18</v>
      </c>
      <c r="L281">
        <v>-246.82</v>
      </c>
      <c r="N281">
        <v>1</v>
      </c>
      <c r="O281">
        <v>6045</v>
      </c>
    </row>
    <row r="282" spans="1:15" x14ac:dyDescent="0.25">
      <c r="A282" s="2">
        <v>44740</v>
      </c>
      <c r="B282" t="s">
        <v>31</v>
      </c>
      <c r="C282">
        <v>897206</v>
      </c>
      <c r="D282" s="2">
        <v>44740.520138888889</v>
      </c>
      <c r="E282" t="s">
        <v>129</v>
      </c>
      <c r="F282" t="s">
        <v>184</v>
      </c>
      <c r="G282">
        <v>268745</v>
      </c>
      <c r="H282">
        <v>246.82</v>
      </c>
      <c r="I282">
        <v>0</v>
      </c>
      <c r="J282" t="s">
        <v>188</v>
      </c>
      <c r="K282">
        <v>246.82</v>
      </c>
      <c r="L282">
        <v>0</v>
      </c>
      <c r="N282">
        <v>1</v>
      </c>
      <c r="O282">
        <v>6045</v>
      </c>
    </row>
    <row r="283" spans="1:15" x14ac:dyDescent="0.25">
      <c r="A283" s="2">
        <v>44757</v>
      </c>
      <c r="B283" t="s">
        <v>31</v>
      </c>
      <c r="C283">
        <v>901040</v>
      </c>
      <c r="D283" s="2">
        <v>44757.427777777782</v>
      </c>
      <c r="E283" t="s">
        <v>134</v>
      </c>
      <c r="G283">
        <v>0</v>
      </c>
      <c r="H283">
        <v>0</v>
      </c>
      <c r="I283">
        <v>139.4</v>
      </c>
      <c r="J283" t="s">
        <v>186</v>
      </c>
      <c r="K283">
        <v>-139.4</v>
      </c>
      <c r="L283">
        <v>-139.4</v>
      </c>
      <c r="N283">
        <v>1</v>
      </c>
      <c r="O283">
        <v>6045</v>
      </c>
    </row>
    <row r="284" spans="1:15" x14ac:dyDescent="0.25">
      <c r="A284" s="2">
        <v>44757</v>
      </c>
      <c r="B284" t="s">
        <v>31</v>
      </c>
      <c r="C284">
        <v>901040</v>
      </c>
      <c r="D284" s="2">
        <v>44757.427777777782</v>
      </c>
      <c r="E284" t="s">
        <v>128</v>
      </c>
      <c r="F284" t="s">
        <v>183</v>
      </c>
      <c r="G284">
        <v>358939</v>
      </c>
      <c r="H284">
        <v>11.71</v>
      </c>
      <c r="I284">
        <v>0</v>
      </c>
      <c r="J284" t="s">
        <v>187</v>
      </c>
      <c r="K284">
        <v>11.71</v>
      </c>
      <c r="L284">
        <v>-127.69</v>
      </c>
      <c r="N284">
        <v>1</v>
      </c>
      <c r="O284">
        <v>6045</v>
      </c>
    </row>
    <row r="285" spans="1:15" x14ac:dyDescent="0.25">
      <c r="A285" s="2">
        <v>44757</v>
      </c>
      <c r="B285" t="s">
        <v>31</v>
      </c>
      <c r="C285">
        <v>901045</v>
      </c>
      <c r="D285" s="2">
        <v>44757.431944444441</v>
      </c>
      <c r="E285" t="s">
        <v>129</v>
      </c>
      <c r="F285" t="s">
        <v>184</v>
      </c>
      <c r="G285">
        <v>270410</v>
      </c>
      <c r="H285">
        <v>127.69</v>
      </c>
      <c r="I285">
        <v>0</v>
      </c>
      <c r="J285" t="s">
        <v>188</v>
      </c>
      <c r="K285">
        <v>127.69</v>
      </c>
      <c r="L285">
        <v>0</v>
      </c>
      <c r="N285">
        <v>1</v>
      </c>
      <c r="O285">
        <v>6045</v>
      </c>
    </row>
    <row r="286" spans="1:15" x14ac:dyDescent="0.25">
      <c r="A286" s="2">
        <v>44768</v>
      </c>
      <c r="B286" t="s">
        <v>31</v>
      </c>
      <c r="C286">
        <v>903376</v>
      </c>
      <c r="D286" s="2">
        <v>44768.462500000001</v>
      </c>
      <c r="E286" t="s">
        <v>134</v>
      </c>
      <c r="G286">
        <v>0</v>
      </c>
      <c r="H286">
        <v>0</v>
      </c>
      <c r="I286">
        <v>310.60000000000002</v>
      </c>
      <c r="J286" t="s">
        <v>186</v>
      </c>
      <c r="K286">
        <v>-310.60000000000002</v>
      </c>
      <c r="L286">
        <v>-310.60000000000002</v>
      </c>
      <c r="N286">
        <v>1</v>
      </c>
      <c r="O286">
        <v>6045</v>
      </c>
    </row>
    <row r="287" spans="1:15" x14ac:dyDescent="0.25">
      <c r="A287" s="2">
        <v>44768</v>
      </c>
      <c r="B287" t="s">
        <v>31</v>
      </c>
      <c r="C287">
        <v>903376</v>
      </c>
      <c r="D287" s="2">
        <v>44768.462500000001</v>
      </c>
      <c r="E287" t="s">
        <v>128</v>
      </c>
      <c r="F287" t="s">
        <v>183</v>
      </c>
      <c r="G287">
        <v>359967</v>
      </c>
      <c r="H287">
        <v>26.09</v>
      </c>
      <c r="I287">
        <v>0</v>
      </c>
      <c r="J287" t="s">
        <v>187</v>
      </c>
      <c r="K287">
        <v>26.09</v>
      </c>
      <c r="L287">
        <v>-284.51</v>
      </c>
      <c r="N287">
        <v>1</v>
      </c>
      <c r="O287">
        <v>6045</v>
      </c>
    </row>
    <row r="288" spans="1:15" x14ac:dyDescent="0.25">
      <c r="A288" s="2">
        <v>44768</v>
      </c>
      <c r="B288" t="s">
        <v>31</v>
      </c>
      <c r="C288">
        <v>903398</v>
      </c>
      <c r="D288" s="2">
        <v>44768.463888888888</v>
      </c>
      <c r="E288" t="s">
        <v>129</v>
      </c>
      <c r="F288" t="s">
        <v>184</v>
      </c>
      <c r="G288">
        <v>271510</v>
      </c>
      <c r="H288">
        <v>284.51</v>
      </c>
      <c r="I288">
        <v>0</v>
      </c>
      <c r="J288" t="s">
        <v>188</v>
      </c>
      <c r="K288">
        <v>284.51</v>
      </c>
      <c r="L288">
        <v>0</v>
      </c>
      <c r="N288">
        <v>1</v>
      </c>
      <c r="O288">
        <v>6045</v>
      </c>
    </row>
    <row r="289" spans="1:15" x14ac:dyDescent="0.25">
      <c r="A289" s="2">
        <v>44770</v>
      </c>
      <c r="B289" t="s">
        <v>31</v>
      </c>
      <c r="C289">
        <v>903686</v>
      </c>
      <c r="D289" s="2">
        <v>44770.022222222222</v>
      </c>
      <c r="E289" t="s">
        <v>131</v>
      </c>
      <c r="F289" t="s">
        <v>183</v>
      </c>
      <c r="G289">
        <v>360755</v>
      </c>
      <c r="H289">
        <v>6</v>
      </c>
      <c r="I289">
        <v>0</v>
      </c>
      <c r="J289" t="s">
        <v>185</v>
      </c>
      <c r="K289">
        <v>6</v>
      </c>
      <c r="L289">
        <v>6</v>
      </c>
      <c r="N289">
        <v>0</v>
      </c>
      <c r="O289">
        <v>6045</v>
      </c>
    </row>
    <row r="290" spans="1:15" x14ac:dyDescent="0.25">
      <c r="A290" s="2">
        <v>44679</v>
      </c>
      <c r="B290" t="s">
        <v>32</v>
      </c>
      <c r="C290">
        <v>884442</v>
      </c>
      <c r="D290" s="2">
        <v>44679.022222222222</v>
      </c>
      <c r="E290" t="s">
        <v>135</v>
      </c>
      <c r="F290" t="s">
        <v>183</v>
      </c>
      <c r="G290">
        <v>348848</v>
      </c>
      <c r="H290">
        <v>6</v>
      </c>
      <c r="I290">
        <v>0</v>
      </c>
      <c r="J290" t="s">
        <v>185</v>
      </c>
      <c r="K290">
        <v>6</v>
      </c>
      <c r="L290">
        <v>6</v>
      </c>
      <c r="N290">
        <v>0</v>
      </c>
    </row>
    <row r="291" spans="1:15" x14ac:dyDescent="0.25">
      <c r="A291" s="2">
        <v>44709</v>
      </c>
      <c r="B291" t="s">
        <v>32</v>
      </c>
      <c r="C291">
        <v>890834</v>
      </c>
      <c r="D291" s="2">
        <v>44709.022222222222</v>
      </c>
      <c r="E291" t="s">
        <v>135</v>
      </c>
      <c r="F291" t="s">
        <v>183</v>
      </c>
      <c r="G291">
        <v>352878</v>
      </c>
      <c r="H291">
        <v>6</v>
      </c>
      <c r="I291">
        <v>0</v>
      </c>
      <c r="J291" t="s">
        <v>185</v>
      </c>
      <c r="K291">
        <v>6</v>
      </c>
      <c r="L291">
        <v>12</v>
      </c>
      <c r="N291">
        <v>0</v>
      </c>
    </row>
    <row r="292" spans="1:15" x14ac:dyDescent="0.25">
      <c r="A292" s="2">
        <v>44740</v>
      </c>
      <c r="B292" t="s">
        <v>32</v>
      </c>
      <c r="C292">
        <v>896912</v>
      </c>
      <c r="D292" s="2">
        <v>44740.022222222222</v>
      </c>
      <c r="E292" t="s">
        <v>135</v>
      </c>
      <c r="F292" t="s">
        <v>183</v>
      </c>
      <c r="G292">
        <v>356669</v>
      </c>
      <c r="H292">
        <v>6</v>
      </c>
      <c r="I292">
        <v>0</v>
      </c>
      <c r="J292" t="s">
        <v>185</v>
      </c>
      <c r="K292">
        <v>6</v>
      </c>
      <c r="L292">
        <v>18</v>
      </c>
      <c r="N292">
        <v>0</v>
      </c>
    </row>
    <row r="293" spans="1:15" x14ac:dyDescent="0.25">
      <c r="A293" s="2">
        <v>44679</v>
      </c>
      <c r="B293" t="s">
        <v>33</v>
      </c>
      <c r="C293">
        <v>884442</v>
      </c>
      <c r="D293" s="2">
        <v>44679.022222222222</v>
      </c>
      <c r="E293" t="s">
        <v>136</v>
      </c>
      <c r="F293" t="s">
        <v>183</v>
      </c>
      <c r="G293">
        <v>348959</v>
      </c>
      <c r="H293">
        <v>6</v>
      </c>
      <c r="I293">
        <v>0</v>
      </c>
      <c r="J293" t="s">
        <v>185</v>
      </c>
      <c r="K293">
        <v>6</v>
      </c>
      <c r="L293">
        <v>6</v>
      </c>
      <c r="N293">
        <v>0</v>
      </c>
    </row>
    <row r="294" spans="1:15" x14ac:dyDescent="0.25">
      <c r="A294" s="2">
        <v>44709</v>
      </c>
      <c r="B294" t="s">
        <v>33</v>
      </c>
      <c r="C294">
        <v>890834</v>
      </c>
      <c r="D294" s="2">
        <v>44709.022222222222</v>
      </c>
      <c r="E294" t="s">
        <v>136</v>
      </c>
      <c r="F294" t="s">
        <v>183</v>
      </c>
      <c r="G294">
        <v>352987</v>
      </c>
      <c r="H294">
        <v>6</v>
      </c>
      <c r="I294">
        <v>0</v>
      </c>
      <c r="J294" t="s">
        <v>185</v>
      </c>
      <c r="K294">
        <v>6</v>
      </c>
      <c r="L294">
        <v>12</v>
      </c>
      <c r="N294">
        <v>0</v>
      </c>
    </row>
    <row r="295" spans="1:15" x14ac:dyDescent="0.25">
      <c r="A295" s="2">
        <v>44740</v>
      </c>
      <c r="B295" t="s">
        <v>33</v>
      </c>
      <c r="C295">
        <v>896912</v>
      </c>
      <c r="D295" s="2">
        <v>44740.022222222222</v>
      </c>
      <c r="E295" t="s">
        <v>136</v>
      </c>
      <c r="F295" t="s">
        <v>183</v>
      </c>
      <c r="G295">
        <v>356772</v>
      </c>
      <c r="H295">
        <v>6</v>
      </c>
      <c r="I295">
        <v>0</v>
      </c>
      <c r="J295" t="s">
        <v>185</v>
      </c>
      <c r="K295">
        <v>6</v>
      </c>
      <c r="L295">
        <v>18</v>
      </c>
      <c r="N295">
        <v>0</v>
      </c>
    </row>
    <row r="296" spans="1:15" x14ac:dyDescent="0.25">
      <c r="A296" s="2">
        <v>44658</v>
      </c>
      <c r="B296" t="s">
        <v>34</v>
      </c>
      <c r="C296">
        <v>880058</v>
      </c>
      <c r="D296" s="2">
        <v>44658.509027777778</v>
      </c>
      <c r="E296" t="s">
        <v>137</v>
      </c>
      <c r="G296">
        <v>0</v>
      </c>
      <c r="H296">
        <v>0</v>
      </c>
      <c r="I296">
        <v>224.96</v>
      </c>
      <c r="J296" t="s">
        <v>186</v>
      </c>
      <c r="K296">
        <v>-224.96</v>
      </c>
      <c r="L296">
        <v>-224.96</v>
      </c>
      <c r="N296">
        <v>1</v>
      </c>
      <c r="O296">
        <v>3072</v>
      </c>
    </row>
    <row r="297" spans="1:15" x14ac:dyDescent="0.25">
      <c r="A297" s="2">
        <v>44658</v>
      </c>
      <c r="B297" t="s">
        <v>34</v>
      </c>
      <c r="C297">
        <v>880058</v>
      </c>
      <c r="D297" s="2">
        <v>44658.509027777778</v>
      </c>
      <c r="E297" t="s">
        <v>138</v>
      </c>
      <c r="F297" t="s">
        <v>183</v>
      </c>
      <c r="G297">
        <v>346269</v>
      </c>
      <c r="H297">
        <v>18.899999999999999</v>
      </c>
      <c r="I297">
        <v>0</v>
      </c>
      <c r="J297" t="s">
        <v>187</v>
      </c>
      <c r="K297">
        <v>18.899999999999999</v>
      </c>
      <c r="L297">
        <v>-206.06</v>
      </c>
      <c r="N297">
        <v>1</v>
      </c>
      <c r="O297">
        <v>3072</v>
      </c>
    </row>
    <row r="298" spans="1:15" x14ac:dyDescent="0.25">
      <c r="A298" s="2">
        <v>44658</v>
      </c>
      <c r="B298" t="s">
        <v>34</v>
      </c>
      <c r="C298">
        <v>880097</v>
      </c>
      <c r="D298" s="2">
        <v>44658.547222222223</v>
      </c>
      <c r="E298" t="s">
        <v>139</v>
      </c>
      <c r="F298" t="s">
        <v>184</v>
      </c>
      <c r="G298">
        <v>261184</v>
      </c>
      <c r="H298">
        <v>200.06</v>
      </c>
      <c r="I298">
        <v>0</v>
      </c>
      <c r="J298" t="s">
        <v>188</v>
      </c>
      <c r="K298">
        <v>200.06</v>
      </c>
      <c r="L298">
        <v>-6</v>
      </c>
      <c r="N298">
        <v>1</v>
      </c>
      <c r="O298">
        <v>3072</v>
      </c>
    </row>
    <row r="299" spans="1:15" x14ac:dyDescent="0.25">
      <c r="A299" s="2">
        <v>44674</v>
      </c>
      <c r="B299" t="s">
        <v>34</v>
      </c>
      <c r="C299">
        <v>883711</v>
      </c>
      <c r="D299" s="2">
        <v>44674.477083333331</v>
      </c>
      <c r="E299" t="s">
        <v>140</v>
      </c>
      <c r="G299">
        <v>0</v>
      </c>
      <c r="H299">
        <v>0</v>
      </c>
      <c r="I299">
        <v>227.36</v>
      </c>
      <c r="J299" t="s">
        <v>186</v>
      </c>
      <c r="K299">
        <v>-227.36</v>
      </c>
      <c r="L299">
        <v>-227.36</v>
      </c>
      <c r="N299">
        <v>1</v>
      </c>
      <c r="O299">
        <v>3072</v>
      </c>
    </row>
    <row r="300" spans="1:15" x14ac:dyDescent="0.25">
      <c r="A300" s="2">
        <v>44674</v>
      </c>
      <c r="B300" t="s">
        <v>34</v>
      </c>
      <c r="C300">
        <v>883711</v>
      </c>
      <c r="D300" s="2">
        <v>44674.477083333331</v>
      </c>
      <c r="E300" t="s">
        <v>138</v>
      </c>
      <c r="F300" t="s">
        <v>183</v>
      </c>
      <c r="G300">
        <v>347917</v>
      </c>
      <c r="H300">
        <v>19.100000000000001</v>
      </c>
      <c r="I300">
        <v>0</v>
      </c>
      <c r="J300" t="s">
        <v>187</v>
      </c>
      <c r="K300">
        <v>19.100000000000001</v>
      </c>
      <c r="L300">
        <v>-208.26</v>
      </c>
      <c r="N300">
        <v>1</v>
      </c>
      <c r="O300">
        <v>3072</v>
      </c>
    </row>
    <row r="301" spans="1:15" x14ac:dyDescent="0.25">
      <c r="A301" s="2">
        <v>44674</v>
      </c>
      <c r="B301" t="s">
        <v>34</v>
      </c>
      <c r="C301">
        <v>883715</v>
      </c>
      <c r="D301" s="2">
        <v>44674.477777777778</v>
      </c>
      <c r="E301" t="s">
        <v>139</v>
      </c>
      <c r="F301" t="s">
        <v>184</v>
      </c>
      <c r="G301">
        <v>262907</v>
      </c>
      <c r="H301">
        <v>208.26</v>
      </c>
      <c r="I301">
        <v>0</v>
      </c>
      <c r="J301" t="s">
        <v>188</v>
      </c>
      <c r="K301">
        <v>208.26</v>
      </c>
      <c r="L301">
        <v>0</v>
      </c>
      <c r="N301">
        <v>1</v>
      </c>
      <c r="O301">
        <v>3072</v>
      </c>
    </row>
    <row r="302" spans="1:15" x14ac:dyDescent="0.25">
      <c r="A302" s="2">
        <v>44679</v>
      </c>
      <c r="B302" t="s">
        <v>34</v>
      </c>
      <c r="C302">
        <v>884442</v>
      </c>
      <c r="D302" s="2">
        <v>44679.022222222222</v>
      </c>
      <c r="E302" t="s">
        <v>141</v>
      </c>
      <c r="F302" t="s">
        <v>183</v>
      </c>
      <c r="G302">
        <v>348849</v>
      </c>
      <c r="H302">
        <v>6</v>
      </c>
      <c r="I302">
        <v>0</v>
      </c>
      <c r="J302" t="s">
        <v>185</v>
      </c>
      <c r="K302">
        <v>6</v>
      </c>
      <c r="L302">
        <v>6</v>
      </c>
      <c r="N302">
        <v>1</v>
      </c>
      <c r="O302">
        <v>3072</v>
      </c>
    </row>
    <row r="303" spans="1:15" x14ac:dyDescent="0.25">
      <c r="A303" s="2">
        <v>44691</v>
      </c>
      <c r="B303" t="s">
        <v>34</v>
      </c>
      <c r="C303">
        <v>886940</v>
      </c>
      <c r="D303" s="2">
        <v>44691.475694444453</v>
      </c>
      <c r="E303" t="s">
        <v>140</v>
      </c>
      <c r="G303">
        <v>0</v>
      </c>
      <c r="H303">
        <v>0</v>
      </c>
      <c r="I303">
        <v>262.64</v>
      </c>
      <c r="J303" t="s">
        <v>186</v>
      </c>
      <c r="K303">
        <v>-262.64</v>
      </c>
      <c r="L303">
        <v>-256.64</v>
      </c>
      <c r="N303">
        <v>1</v>
      </c>
      <c r="O303">
        <v>3072</v>
      </c>
    </row>
    <row r="304" spans="1:15" x14ac:dyDescent="0.25">
      <c r="A304" s="2">
        <v>44691</v>
      </c>
      <c r="B304" t="s">
        <v>34</v>
      </c>
      <c r="C304">
        <v>886940</v>
      </c>
      <c r="D304" s="2">
        <v>44691.475694444453</v>
      </c>
      <c r="E304" t="s">
        <v>138</v>
      </c>
      <c r="F304" t="s">
        <v>183</v>
      </c>
      <c r="G304">
        <v>350589</v>
      </c>
      <c r="H304">
        <v>22.06</v>
      </c>
      <c r="I304">
        <v>0</v>
      </c>
      <c r="J304" t="s">
        <v>187</v>
      </c>
      <c r="K304">
        <v>22.06</v>
      </c>
      <c r="L304">
        <v>-234.58</v>
      </c>
      <c r="N304">
        <v>1</v>
      </c>
      <c r="O304">
        <v>3072</v>
      </c>
    </row>
    <row r="305" spans="1:15" x14ac:dyDescent="0.25">
      <c r="A305" s="2">
        <v>44691</v>
      </c>
      <c r="B305" t="s">
        <v>34</v>
      </c>
      <c r="C305">
        <v>886961</v>
      </c>
      <c r="D305" s="2">
        <v>44691.477777777778</v>
      </c>
      <c r="E305" t="s">
        <v>139</v>
      </c>
      <c r="F305" t="s">
        <v>184</v>
      </c>
      <c r="G305">
        <v>264103</v>
      </c>
      <c r="H305">
        <v>234.58</v>
      </c>
      <c r="I305">
        <v>0</v>
      </c>
      <c r="J305" t="s">
        <v>188</v>
      </c>
      <c r="K305">
        <v>234.58</v>
      </c>
      <c r="L305">
        <v>0</v>
      </c>
      <c r="N305">
        <v>1</v>
      </c>
      <c r="O305">
        <v>3072</v>
      </c>
    </row>
    <row r="306" spans="1:15" x14ac:dyDescent="0.25">
      <c r="A306" s="2">
        <v>44705</v>
      </c>
      <c r="B306" t="s">
        <v>34</v>
      </c>
      <c r="C306">
        <v>890234</v>
      </c>
      <c r="D306" s="2">
        <v>44705.436111111107</v>
      </c>
      <c r="E306" t="s">
        <v>142</v>
      </c>
      <c r="G306">
        <v>0</v>
      </c>
      <c r="H306">
        <v>0</v>
      </c>
      <c r="I306">
        <v>189.68</v>
      </c>
      <c r="J306" t="s">
        <v>186</v>
      </c>
      <c r="K306">
        <v>-189.68</v>
      </c>
      <c r="L306">
        <v>-189.68</v>
      </c>
      <c r="N306">
        <v>1</v>
      </c>
      <c r="O306">
        <v>3072</v>
      </c>
    </row>
    <row r="307" spans="1:15" x14ac:dyDescent="0.25">
      <c r="A307" s="2">
        <v>44705</v>
      </c>
      <c r="B307" t="s">
        <v>34</v>
      </c>
      <c r="C307">
        <v>890234</v>
      </c>
      <c r="D307" s="2">
        <v>44705.436111111107</v>
      </c>
      <c r="E307" t="s">
        <v>138</v>
      </c>
      <c r="F307" t="s">
        <v>183</v>
      </c>
      <c r="G307">
        <v>351941</v>
      </c>
      <c r="H307">
        <v>15.94</v>
      </c>
      <c r="I307">
        <v>0</v>
      </c>
      <c r="J307" t="s">
        <v>187</v>
      </c>
      <c r="K307">
        <v>15.94</v>
      </c>
      <c r="L307">
        <v>-173.74</v>
      </c>
      <c r="N307">
        <v>1</v>
      </c>
      <c r="O307">
        <v>3072</v>
      </c>
    </row>
    <row r="308" spans="1:15" x14ac:dyDescent="0.25">
      <c r="A308" s="2">
        <v>44705</v>
      </c>
      <c r="B308" t="s">
        <v>34</v>
      </c>
      <c r="C308">
        <v>890244</v>
      </c>
      <c r="D308" s="2">
        <v>44705.439583333333</v>
      </c>
      <c r="E308" t="s">
        <v>139</v>
      </c>
      <c r="F308" t="s">
        <v>184</v>
      </c>
      <c r="G308">
        <v>265728</v>
      </c>
      <c r="H308">
        <v>173.74</v>
      </c>
      <c r="I308">
        <v>0</v>
      </c>
      <c r="J308" t="s">
        <v>188</v>
      </c>
      <c r="K308">
        <v>173.74</v>
      </c>
      <c r="L308">
        <v>0</v>
      </c>
      <c r="N308">
        <v>1</v>
      </c>
      <c r="O308">
        <v>3072</v>
      </c>
    </row>
    <row r="309" spans="1:15" x14ac:dyDescent="0.25">
      <c r="A309" s="2">
        <v>44709</v>
      </c>
      <c r="B309" t="s">
        <v>34</v>
      </c>
      <c r="C309">
        <v>890834</v>
      </c>
      <c r="D309" s="2">
        <v>44709.022222222222</v>
      </c>
      <c r="E309" t="s">
        <v>141</v>
      </c>
      <c r="F309" t="s">
        <v>183</v>
      </c>
      <c r="G309">
        <v>352879</v>
      </c>
      <c r="H309">
        <v>6</v>
      </c>
      <c r="I309">
        <v>0</v>
      </c>
      <c r="J309" t="s">
        <v>185</v>
      </c>
      <c r="K309">
        <v>6</v>
      </c>
      <c r="L309">
        <v>6</v>
      </c>
      <c r="N309">
        <v>1</v>
      </c>
      <c r="O309">
        <v>3072</v>
      </c>
    </row>
    <row r="310" spans="1:15" x14ac:dyDescent="0.25">
      <c r="A310" s="2">
        <v>44713</v>
      </c>
      <c r="B310" t="s">
        <v>34</v>
      </c>
      <c r="C310">
        <v>891720</v>
      </c>
      <c r="D310" s="2">
        <v>44713.456944444442</v>
      </c>
      <c r="E310" t="s">
        <v>142</v>
      </c>
      <c r="G310">
        <v>0</v>
      </c>
      <c r="H310">
        <v>0</v>
      </c>
      <c r="I310">
        <v>300.32</v>
      </c>
      <c r="J310" t="s">
        <v>186</v>
      </c>
      <c r="K310">
        <v>-300.32</v>
      </c>
      <c r="L310">
        <v>-294.32</v>
      </c>
      <c r="N310">
        <v>1</v>
      </c>
      <c r="O310">
        <v>3072</v>
      </c>
    </row>
    <row r="311" spans="1:15" x14ac:dyDescent="0.25">
      <c r="A311" s="2">
        <v>44713</v>
      </c>
      <c r="B311" t="s">
        <v>34</v>
      </c>
      <c r="C311">
        <v>891720</v>
      </c>
      <c r="D311" s="2">
        <v>44713.456944444442</v>
      </c>
      <c r="E311" t="s">
        <v>138</v>
      </c>
      <c r="F311" t="s">
        <v>183</v>
      </c>
      <c r="G311">
        <v>353528</v>
      </c>
      <c r="H311">
        <v>25.22</v>
      </c>
      <c r="I311">
        <v>0</v>
      </c>
      <c r="J311" t="s">
        <v>187</v>
      </c>
      <c r="K311">
        <v>25.22</v>
      </c>
      <c r="L311">
        <v>-269.10000000000002</v>
      </c>
      <c r="N311">
        <v>1</v>
      </c>
      <c r="O311">
        <v>3072</v>
      </c>
    </row>
    <row r="312" spans="1:15" x14ac:dyDescent="0.25">
      <c r="A312" s="2">
        <v>44713</v>
      </c>
      <c r="B312" t="s">
        <v>34</v>
      </c>
      <c r="C312">
        <v>891743</v>
      </c>
      <c r="D312" s="2">
        <v>44713.459027777782</v>
      </c>
      <c r="E312" t="s">
        <v>139</v>
      </c>
      <c r="F312" t="s">
        <v>184</v>
      </c>
      <c r="G312">
        <v>266254</v>
      </c>
      <c r="H312">
        <v>269.10000000000002</v>
      </c>
      <c r="I312">
        <v>0</v>
      </c>
      <c r="J312" t="s">
        <v>188</v>
      </c>
      <c r="K312">
        <v>269.10000000000002</v>
      </c>
      <c r="L312">
        <v>0</v>
      </c>
      <c r="N312">
        <v>1</v>
      </c>
      <c r="O312">
        <v>3072</v>
      </c>
    </row>
    <row r="313" spans="1:15" x14ac:dyDescent="0.25">
      <c r="A313" s="2">
        <v>44735</v>
      </c>
      <c r="B313" t="s">
        <v>34</v>
      </c>
      <c r="C313">
        <v>896386</v>
      </c>
      <c r="D313" s="2">
        <v>44735.433333333327</v>
      </c>
      <c r="E313" t="s">
        <v>143</v>
      </c>
      <c r="G313">
        <v>0</v>
      </c>
      <c r="H313">
        <v>0</v>
      </c>
      <c r="I313">
        <v>152</v>
      </c>
      <c r="J313" t="s">
        <v>186</v>
      </c>
      <c r="K313">
        <v>-152</v>
      </c>
      <c r="L313">
        <v>-152</v>
      </c>
      <c r="N313">
        <v>1</v>
      </c>
      <c r="O313">
        <v>3072</v>
      </c>
    </row>
    <row r="314" spans="1:15" x14ac:dyDescent="0.25">
      <c r="A314" s="2">
        <v>44735</v>
      </c>
      <c r="B314" t="s">
        <v>34</v>
      </c>
      <c r="C314">
        <v>896386</v>
      </c>
      <c r="D314" s="2">
        <v>44735.433333333327</v>
      </c>
      <c r="E314" t="s">
        <v>138</v>
      </c>
      <c r="F314" t="s">
        <v>183</v>
      </c>
      <c r="G314">
        <v>355796</v>
      </c>
      <c r="H314">
        <v>12.77</v>
      </c>
      <c r="I314">
        <v>0</v>
      </c>
      <c r="J314" t="s">
        <v>187</v>
      </c>
      <c r="K314">
        <v>12.77</v>
      </c>
      <c r="L314">
        <v>-139.22999999999999</v>
      </c>
      <c r="N314">
        <v>1</v>
      </c>
      <c r="O314">
        <v>3072</v>
      </c>
    </row>
    <row r="315" spans="1:15" x14ac:dyDescent="0.25">
      <c r="A315" s="2">
        <v>44735</v>
      </c>
      <c r="B315" t="s">
        <v>34</v>
      </c>
      <c r="C315">
        <v>896389</v>
      </c>
      <c r="D315" s="2">
        <v>44735.434027777781</v>
      </c>
      <c r="E315" t="s">
        <v>139</v>
      </c>
      <c r="F315" t="s">
        <v>184</v>
      </c>
      <c r="G315">
        <v>268514</v>
      </c>
      <c r="H315">
        <v>139.22999999999999</v>
      </c>
      <c r="I315">
        <v>0</v>
      </c>
      <c r="J315" t="s">
        <v>188</v>
      </c>
      <c r="K315">
        <v>139.22999999999999</v>
      </c>
      <c r="L315">
        <v>0</v>
      </c>
      <c r="N315">
        <v>1</v>
      </c>
      <c r="O315">
        <v>3072</v>
      </c>
    </row>
    <row r="316" spans="1:15" x14ac:dyDescent="0.25">
      <c r="A316" s="2">
        <v>44740</v>
      </c>
      <c r="B316" t="s">
        <v>34</v>
      </c>
      <c r="C316">
        <v>896912</v>
      </c>
      <c r="D316" s="2">
        <v>44740.022222222222</v>
      </c>
      <c r="E316" t="s">
        <v>141</v>
      </c>
      <c r="F316" t="s">
        <v>183</v>
      </c>
      <c r="G316">
        <v>356670</v>
      </c>
      <c r="H316">
        <v>6</v>
      </c>
      <c r="I316">
        <v>0</v>
      </c>
      <c r="J316" t="s">
        <v>185</v>
      </c>
      <c r="K316">
        <v>6</v>
      </c>
      <c r="L316">
        <v>6</v>
      </c>
      <c r="N316">
        <v>1</v>
      </c>
      <c r="O316">
        <v>3072</v>
      </c>
    </row>
    <row r="317" spans="1:15" x14ac:dyDescent="0.25">
      <c r="A317" s="2">
        <v>44740</v>
      </c>
      <c r="B317" t="s">
        <v>34</v>
      </c>
      <c r="C317">
        <v>897191</v>
      </c>
      <c r="D317" s="2">
        <v>44740.519444444442</v>
      </c>
      <c r="E317" t="s">
        <v>143</v>
      </c>
      <c r="G317">
        <v>0</v>
      </c>
      <c r="H317">
        <v>0</v>
      </c>
      <c r="I317">
        <v>338</v>
      </c>
      <c r="J317" t="s">
        <v>186</v>
      </c>
      <c r="K317">
        <v>-338</v>
      </c>
      <c r="L317">
        <v>-332</v>
      </c>
      <c r="N317">
        <v>1</v>
      </c>
      <c r="O317">
        <v>3072</v>
      </c>
    </row>
    <row r="318" spans="1:15" x14ac:dyDescent="0.25">
      <c r="A318" s="2">
        <v>44740</v>
      </c>
      <c r="B318" t="s">
        <v>34</v>
      </c>
      <c r="C318">
        <v>897191</v>
      </c>
      <c r="D318" s="2">
        <v>44740.519444444442</v>
      </c>
      <c r="E318" t="s">
        <v>138</v>
      </c>
      <c r="F318" t="s">
        <v>183</v>
      </c>
      <c r="G318">
        <v>357029</v>
      </c>
      <c r="H318">
        <v>28.39</v>
      </c>
      <c r="I318">
        <v>0</v>
      </c>
      <c r="J318" t="s">
        <v>187</v>
      </c>
      <c r="K318">
        <v>28.39</v>
      </c>
      <c r="L318">
        <v>-303.61</v>
      </c>
      <c r="N318">
        <v>1</v>
      </c>
      <c r="O318">
        <v>3072</v>
      </c>
    </row>
    <row r="319" spans="1:15" x14ac:dyDescent="0.25">
      <c r="A319" s="2">
        <v>44740</v>
      </c>
      <c r="B319" t="s">
        <v>34</v>
      </c>
      <c r="C319">
        <v>897206</v>
      </c>
      <c r="D319" s="2">
        <v>44740.520138888889</v>
      </c>
      <c r="E319" t="s">
        <v>139</v>
      </c>
      <c r="F319" t="s">
        <v>184</v>
      </c>
      <c r="G319">
        <v>268749</v>
      </c>
      <c r="H319">
        <v>303.61</v>
      </c>
      <c r="I319">
        <v>0</v>
      </c>
      <c r="J319" t="s">
        <v>188</v>
      </c>
      <c r="K319">
        <v>303.61</v>
      </c>
      <c r="L319">
        <v>0</v>
      </c>
      <c r="N319">
        <v>1</v>
      </c>
      <c r="O319">
        <v>3072</v>
      </c>
    </row>
    <row r="320" spans="1:15" x14ac:dyDescent="0.25">
      <c r="A320" s="2">
        <v>44765</v>
      </c>
      <c r="B320" t="s">
        <v>34</v>
      </c>
      <c r="C320">
        <v>903027</v>
      </c>
      <c r="D320" s="2">
        <v>44765.436111111107</v>
      </c>
      <c r="E320" t="s">
        <v>144</v>
      </c>
      <c r="G320">
        <v>0</v>
      </c>
      <c r="H320">
        <v>0</v>
      </c>
      <c r="I320">
        <v>114.32</v>
      </c>
      <c r="J320" t="s">
        <v>186</v>
      </c>
      <c r="K320">
        <v>-114.32</v>
      </c>
      <c r="L320">
        <v>-114.32</v>
      </c>
      <c r="N320">
        <v>1</v>
      </c>
      <c r="O320">
        <v>3072</v>
      </c>
    </row>
    <row r="321" spans="1:15" x14ac:dyDescent="0.25">
      <c r="A321" s="2">
        <v>44765</v>
      </c>
      <c r="B321" t="s">
        <v>34</v>
      </c>
      <c r="C321">
        <v>903027</v>
      </c>
      <c r="D321" s="2">
        <v>44765.436111111107</v>
      </c>
      <c r="E321" t="s">
        <v>138</v>
      </c>
      <c r="F321" t="s">
        <v>183</v>
      </c>
      <c r="G321">
        <v>359793</v>
      </c>
      <c r="H321">
        <v>9.6</v>
      </c>
      <c r="I321">
        <v>0</v>
      </c>
      <c r="J321" t="s">
        <v>187</v>
      </c>
      <c r="K321">
        <v>9.6</v>
      </c>
      <c r="L321">
        <v>-104.72</v>
      </c>
      <c r="N321">
        <v>1</v>
      </c>
      <c r="O321">
        <v>3072</v>
      </c>
    </row>
    <row r="322" spans="1:15" x14ac:dyDescent="0.25">
      <c r="A322" s="2">
        <v>44765</v>
      </c>
      <c r="B322" t="s">
        <v>34</v>
      </c>
      <c r="C322">
        <v>903031</v>
      </c>
      <c r="D322" s="2">
        <v>44765.439583333333</v>
      </c>
      <c r="E322" t="s">
        <v>139</v>
      </c>
      <c r="F322" t="s">
        <v>184</v>
      </c>
      <c r="G322">
        <v>271395</v>
      </c>
      <c r="H322">
        <v>104.72</v>
      </c>
      <c r="I322">
        <v>0</v>
      </c>
      <c r="J322" t="s">
        <v>188</v>
      </c>
      <c r="K322">
        <v>104.72</v>
      </c>
      <c r="L322">
        <v>0</v>
      </c>
      <c r="N322">
        <v>1</v>
      </c>
      <c r="O322">
        <v>3072</v>
      </c>
    </row>
    <row r="323" spans="1:15" x14ac:dyDescent="0.25">
      <c r="A323" s="2">
        <v>44768</v>
      </c>
      <c r="B323" t="s">
        <v>34</v>
      </c>
      <c r="C323">
        <v>903380</v>
      </c>
      <c r="D323" s="2">
        <v>44768.462500000001</v>
      </c>
      <c r="E323" t="s">
        <v>144</v>
      </c>
      <c r="G323">
        <v>0</v>
      </c>
      <c r="H323">
        <v>0</v>
      </c>
      <c r="I323">
        <v>375.68</v>
      </c>
      <c r="J323" t="s">
        <v>186</v>
      </c>
      <c r="K323">
        <v>-375.68</v>
      </c>
      <c r="L323">
        <v>-375.68</v>
      </c>
      <c r="N323">
        <v>1</v>
      </c>
      <c r="O323">
        <v>3072</v>
      </c>
    </row>
    <row r="324" spans="1:15" x14ac:dyDescent="0.25">
      <c r="A324" s="2">
        <v>44768</v>
      </c>
      <c r="B324" t="s">
        <v>34</v>
      </c>
      <c r="C324">
        <v>903380</v>
      </c>
      <c r="D324" s="2">
        <v>44768.462500000001</v>
      </c>
      <c r="E324" t="s">
        <v>138</v>
      </c>
      <c r="F324" t="s">
        <v>183</v>
      </c>
      <c r="G324">
        <v>359970</v>
      </c>
      <c r="H324">
        <v>31.56</v>
      </c>
      <c r="I324">
        <v>0</v>
      </c>
      <c r="J324" t="s">
        <v>187</v>
      </c>
      <c r="K324">
        <v>31.56</v>
      </c>
      <c r="L324">
        <v>-344.12</v>
      </c>
      <c r="N324">
        <v>1</v>
      </c>
      <c r="O324">
        <v>3072</v>
      </c>
    </row>
    <row r="325" spans="1:15" x14ac:dyDescent="0.25">
      <c r="A325" s="2">
        <v>44768</v>
      </c>
      <c r="B325" t="s">
        <v>34</v>
      </c>
      <c r="C325">
        <v>903398</v>
      </c>
      <c r="D325" s="2">
        <v>44768.463888888888</v>
      </c>
      <c r="E325" t="s">
        <v>139</v>
      </c>
      <c r="F325" t="s">
        <v>184</v>
      </c>
      <c r="G325">
        <v>271514</v>
      </c>
      <c r="H325">
        <v>344.12</v>
      </c>
      <c r="I325">
        <v>0</v>
      </c>
      <c r="J325" t="s">
        <v>188</v>
      </c>
      <c r="K325">
        <v>344.12</v>
      </c>
      <c r="L325">
        <v>0</v>
      </c>
      <c r="N325">
        <v>1</v>
      </c>
      <c r="O325">
        <v>3072</v>
      </c>
    </row>
    <row r="326" spans="1:15" x14ac:dyDescent="0.25">
      <c r="A326" s="2">
        <v>44770</v>
      </c>
      <c r="B326" t="s">
        <v>34</v>
      </c>
      <c r="C326">
        <v>903686</v>
      </c>
      <c r="D326" s="2">
        <v>44770.022222222222</v>
      </c>
      <c r="E326" t="s">
        <v>141</v>
      </c>
      <c r="F326" t="s">
        <v>183</v>
      </c>
      <c r="G326">
        <v>360714</v>
      </c>
      <c r="H326">
        <v>6</v>
      </c>
      <c r="I326">
        <v>0</v>
      </c>
      <c r="J326" t="s">
        <v>185</v>
      </c>
      <c r="K326">
        <v>6</v>
      </c>
      <c r="L326">
        <v>6</v>
      </c>
      <c r="N326">
        <v>0</v>
      </c>
      <c r="O326">
        <v>3072</v>
      </c>
    </row>
    <row r="327" spans="1:15" x14ac:dyDescent="0.25">
      <c r="A327" s="2">
        <v>44663</v>
      </c>
      <c r="B327" t="s">
        <v>35</v>
      </c>
      <c r="C327">
        <v>880975</v>
      </c>
      <c r="D327" s="2">
        <v>44663.506249999999</v>
      </c>
      <c r="E327" t="s">
        <v>145</v>
      </c>
      <c r="G327">
        <v>0</v>
      </c>
      <c r="H327">
        <v>0</v>
      </c>
      <c r="I327">
        <v>41.56</v>
      </c>
      <c r="J327" t="s">
        <v>186</v>
      </c>
      <c r="K327">
        <v>-41.56</v>
      </c>
      <c r="L327">
        <v>-41.56</v>
      </c>
      <c r="N327">
        <v>1</v>
      </c>
      <c r="O327">
        <v>6045</v>
      </c>
    </row>
    <row r="328" spans="1:15" x14ac:dyDescent="0.25">
      <c r="A328" s="2">
        <v>44663</v>
      </c>
      <c r="B328" t="s">
        <v>35</v>
      </c>
      <c r="C328">
        <v>880975</v>
      </c>
      <c r="D328" s="2">
        <v>44663.506249999999</v>
      </c>
      <c r="E328" t="s">
        <v>146</v>
      </c>
      <c r="F328" t="s">
        <v>183</v>
      </c>
      <c r="G328">
        <v>346775</v>
      </c>
      <c r="H328">
        <v>3.49</v>
      </c>
      <c r="I328">
        <v>0</v>
      </c>
      <c r="J328" t="s">
        <v>187</v>
      </c>
      <c r="K328">
        <v>3.49</v>
      </c>
      <c r="L328">
        <v>-38.07</v>
      </c>
      <c r="N328">
        <v>1</v>
      </c>
      <c r="O328">
        <v>6045</v>
      </c>
    </row>
    <row r="329" spans="1:15" x14ac:dyDescent="0.25">
      <c r="A329" s="2">
        <v>44663</v>
      </c>
      <c r="B329" t="s">
        <v>35</v>
      </c>
      <c r="C329">
        <v>880975</v>
      </c>
      <c r="D329" s="2">
        <v>44663.506249999999</v>
      </c>
      <c r="E329" t="s">
        <v>147</v>
      </c>
      <c r="G329">
        <v>0</v>
      </c>
      <c r="H329">
        <v>0</v>
      </c>
      <c r="I329">
        <v>419.96</v>
      </c>
      <c r="J329" t="s">
        <v>186</v>
      </c>
      <c r="K329">
        <v>-419.96</v>
      </c>
      <c r="L329">
        <v>-458.03</v>
      </c>
      <c r="N329">
        <v>1</v>
      </c>
      <c r="O329">
        <v>6045</v>
      </c>
    </row>
    <row r="330" spans="1:15" x14ac:dyDescent="0.25">
      <c r="A330" s="2">
        <v>44663</v>
      </c>
      <c r="B330" t="s">
        <v>35</v>
      </c>
      <c r="C330">
        <v>880975</v>
      </c>
      <c r="D330" s="2">
        <v>44663.506249999999</v>
      </c>
      <c r="E330" t="s">
        <v>146</v>
      </c>
      <c r="F330" t="s">
        <v>183</v>
      </c>
      <c r="G330">
        <v>346775</v>
      </c>
      <c r="H330">
        <v>35.28</v>
      </c>
      <c r="I330">
        <v>0</v>
      </c>
      <c r="J330" t="s">
        <v>187</v>
      </c>
      <c r="K330">
        <v>35.28</v>
      </c>
      <c r="L330">
        <v>-422.75</v>
      </c>
      <c r="N330">
        <v>1</v>
      </c>
      <c r="O330">
        <v>6045</v>
      </c>
    </row>
    <row r="331" spans="1:15" x14ac:dyDescent="0.25">
      <c r="A331" s="2">
        <v>44663</v>
      </c>
      <c r="B331" t="s">
        <v>35</v>
      </c>
      <c r="C331">
        <v>880985</v>
      </c>
      <c r="D331" s="2">
        <v>44663.509027777778</v>
      </c>
      <c r="E331" t="s">
        <v>148</v>
      </c>
      <c r="F331" t="s">
        <v>184</v>
      </c>
      <c r="G331">
        <v>261680</v>
      </c>
      <c r="H331">
        <v>416.75</v>
      </c>
      <c r="I331">
        <v>0</v>
      </c>
      <c r="J331" t="s">
        <v>188</v>
      </c>
      <c r="K331">
        <v>416.75</v>
      </c>
      <c r="L331">
        <v>-6</v>
      </c>
      <c r="N331">
        <v>1</v>
      </c>
      <c r="O331">
        <v>6045</v>
      </c>
    </row>
    <row r="332" spans="1:15" x14ac:dyDescent="0.25">
      <c r="A332" s="2">
        <v>44679</v>
      </c>
      <c r="B332" t="s">
        <v>35</v>
      </c>
      <c r="C332">
        <v>884442</v>
      </c>
      <c r="D332" s="2">
        <v>44679.022222222222</v>
      </c>
      <c r="E332" t="s">
        <v>149</v>
      </c>
      <c r="F332" t="s">
        <v>183</v>
      </c>
      <c r="G332">
        <v>348891</v>
      </c>
      <c r="H332">
        <v>6</v>
      </c>
      <c r="I332">
        <v>0</v>
      </c>
      <c r="J332" t="s">
        <v>185</v>
      </c>
      <c r="K332">
        <v>6</v>
      </c>
      <c r="L332">
        <v>6</v>
      </c>
      <c r="N332">
        <v>1</v>
      </c>
      <c r="O332">
        <v>6045</v>
      </c>
    </row>
    <row r="333" spans="1:15" x14ac:dyDescent="0.25">
      <c r="A333" s="2">
        <v>44691</v>
      </c>
      <c r="B333" t="s">
        <v>35</v>
      </c>
      <c r="C333">
        <v>886941</v>
      </c>
      <c r="D333" s="2">
        <v>44691.475694444453</v>
      </c>
      <c r="E333" t="s">
        <v>147</v>
      </c>
      <c r="G333">
        <v>0</v>
      </c>
      <c r="H333">
        <v>0</v>
      </c>
      <c r="I333">
        <v>80.040000000000006</v>
      </c>
      <c r="J333" t="s">
        <v>186</v>
      </c>
      <c r="K333">
        <v>-80.040000000000006</v>
      </c>
      <c r="L333">
        <v>-74.040000000000006</v>
      </c>
      <c r="N333">
        <v>1</v>
      </c>
      <c r="O333">
        <v>6045</v>
      </c>
    </row>
    <row r="334" spans="1:15" x14ac:dyDescent="0.25">
      <c r="A334" s="2">
        <v>44691</v>
      </c>
      <c r="B334" t="s">
        <v>35</v>
      </c>
      <c r="C334">
        <v>886941</v>
      </c>
      <c r="D334" s="2">
        <v>44691.475694444453</v>
      </c>
      <c r="E334" t="s">
        <v>146</v>
      </c>
      <c r="F334" t="s">
        <v>183</v>
      </c>
      <c r="G334">
        <v>350590</v>
      </c>
      <c r="H334">
        <v>6.72</v>
      </c>
      <c r="I334">
        <v>0</v>
      </c>
      <c r="J334" t="s">
        <v>187</v>
      </c>
      <c r="K334">
        <v>6.72</v>
      </c>
      <c r="L334">
        <v>-67.319999999999993</v>
      </c>
      <c r="N334">
        <v>1</v>
      </c>
      <c r="O334">
        <v>6045</v>
      </c>
    </row>
    <row r="335" spans="1:15" x14ac:dyDescent="0.25">
      <c r="A335" s="2">
        <v>44691</v>
      </c>
      <c r="B335" t="s">
        <v>35</v>
      </c>
      <c r="C335">
        <v>886961</v>
      </c>
      <c r="D335" s="2">
        <v>44691.477777777778</v>
      </c>
      <c r="E335" t="s">
        <v>148</v>
      </c>
      <c r="F335" t="s">
        <v>184</v>
      </c>
      <c r="G335">
        <v>264104</v>
      </c>
      <c r="H335">
        <v>67.319999999999993</v>
      </c>
      <c r="I335">
        <v>0</v>
      </c>
      <c r="J335" t="s">
        <v>188</v>
      </c>
      <c r="K335">
        <v>67.319999999999993</v>
      </c>
      <c r="L335">
        <v>0</v>
      </c>
      <c r="N335">
        <v>1</v>
      </c>
      <c r="O335">
        <v>6045</v>
      </c>
    </row>
    <row r="336" spans="1:15" x14ac:dyDescent="0.25">
      <c r="A336" s="2">
        <v>44693</v>
      </c>
      <c r="B336" t="s">
        <v>35</v>
      </c>
      <c r="C336">
        <v>887641</v>
      </c>
      <c r="D336" s="2">
        <v>44693.447222222218</v>
      </c>
      <c r="E336" t="s">
        <v>150</v>
      </c>
      <c r="G336">
        <v>0</v>
      </c>
      <c r="H336">
        <v>0</v>
      </c>
      <c r="I336">
        <v>381.48</v>
      </c>
      <c r="J336" t="s">
        <v>186</v>
      </c>
      <c r="K336">
        <v>-381.48</v>
      </c>
      <c r="L336">
        <v>-381.48</v>
      </c>
      <c r="N336">
        <v>1</v>
      </c>
      <c r="O336">
        <v>6045</v>
      </c>
    </row>
    <row r="337" spans="1:15" x14ac:dyDescent="0.25">
      <c r="A337" s="2">
        <v>44693</v>
      </c>
      <c r="B337" t="s">
        <v>35</v>
      </c>
      <c r="C337">
        <v>887641</v>
      </c>
      <c r="D337" s="2">
        <v>44693.447222222218</v>
      </c>
      <c r="E337" t="s">
        <v>146</v>
      </c>
      <c r="F337" t="s">
        <v>183</v>
      </c>
      <c r="G337">
        <v>350809</v>
      </c>
      <c r="H337">
        <v>32.04</v>
      </c>
      <c r="I337">
        <v>0</v>
      </c>
      <c r="J337" t="s">
        <v>187</v>
      </c>
      <c r="K337">
        <v>32.04</v>
      </c>
      <c r="L337">
        <v>-349.44</v>
      </c>
      <c r="N337">
        <v>1</v>
      </c>
      <c r="O337">
        <v>6045</v>
      </c>
    </row>
    <row r="338" spans="1:15" x14ac:dyDescent="0.25">
      <c r="A338" s="2">
        <v>44693</v>
      </c>
      <c r="B338" t="s">
        <v>35</v>
      </c>
      <c r="C338">
        <v>887652</v>
      </c>
      <c r="D338" s="2">
        <v>44693.454861111109</v>
      </c>
      <c r="E338" t="s">
        <v>148</v>
      </c>
      <c r="F338" t="s">
        <v>184</v>
      </c>
      <c r="G338">
        <v>264419</v>
      </c>
      <c r="H338">
        <v>349.44</v>
      </c>
      <c r="I338">
        <v>0</v>
      </c>
      <c r="J338" t="s">
        <v>188</v>
      </c>
      <c r="K338">
        <v>349.44</v>
      </c>
      <c r="L338">
        <v>0</v>
      </c>
      <c r="N338">
        <v>1</v>
      </c>
      <c r="O338">
        <v>6045</v>
      </c>
    </row>
    <row r="339" spans="1:15" x14ac:dyDescent="0.25">
      <c r="A339" s="2">
        <v>44709</v>
      </c>
      <c r="B339" t="s">
        <v>35</v>
      </c>
      <c r="C339">
        <v>890834</v>
      </c>
      <c r="D339" s="2">
        <v>44709.022222222222</v>
      </c>
      <c r="E339" t="s">
        <v>149</v>
      </c>
      <c r="F339" t="s">
        <v>183</v>
      </c>
      <c r="G339">
        <v>352921</v>
      </c>
      <c r="H339">
        <v>6</v>
      </c>
      <c r="I339">
        <v>0</v>
      </c>
      <c r="J339" t="s">
        <v>185</v>
      </c>
      <c r="K339">
        <v>6</v>
      </c>
      <c r="L339">
        <v>6</v>
      </c>
      <c r="N339">
        <v>1</v>
      </c>
      <c r="O339">
        <v>6045</v>
      </c>
    </row>
    <row r="340" spans="1:15" x14ac:dyDescent="0.25">
      <c r="A340" s="2">
        <v>44713</v>
      </c>
      <c r="B340" t="s">
        <v>35</v>
      </c>
      <c r="C340">
        <v>891721</v>
      </c>
      <c r="D340" s="2">
        <v>44713.456944444442</v>
      </c>
      <c r="E340" t="s">
        <v>150</v>
      </c>
      <c r="G340">
        <v>0</v>
      </c>
      <c r="H340">
        <v>0</v>
      </c>
      <c r="I340">
        <v>118.52</v>
      </c>
      <c r="J340" t="s">
        <v>186</v>
      </c>
      <c r="K340">
        <v>-118.52</v>
      </c>
      <c r="L340">
        <v>-112.52</v>
      </c>
      <c r="N340">
        <v>1</v>
      </c>
      <c r="O340">
        <v>6045</v>
      </c>
    </row>
    <row r="341" spans="1:15" x14ac:dyDescent="0.25">
      <c r="A341" s="2">
        <v>44713</v>
      </c>
      <c r="B341" t="s">
        <v>35</v>
      </c>
      <c r="C341">
        <v>891721</v>
      </c>
      <c r="D341" s="2">
        <v>44713.456944444442</v>
      </c>
      <c r="E341" t="s">
        <v>146</v>
      </c>
      <c r="F341" t="s">
        <v>183</v>
      </c>
      <c r="G341">
        <v>353529</v>
      </c>
      <c r="H341">
        <v>9.9600000000000009</v>
      </c>
      <c r="I341">
        <v>0</v>
      </c>
      <c r="J341" t="s">
        <v>187</v>
      </c>
      <c r="K341">
        <v>9.9600000000000009</v>
      </c>
      <c r="L341">
        <v>-102.56</v>
      </c>
      <c r="N341">
        <v>1</v>
      </c>
      <c r="O341">
        <v>6045</v>
      </c>
    </row>
    <row r="342" spans="1:15" x14ac:dyDescent="0.25">
      <c r="A342" s="2">
        <v>44713</v>
      </c>
      <c r="B342" t="s">
        <v>35</v>
      </c>
      <c r="C342">
        <v>891743</v>
      </c>
      <c r="D342" s="2">
        <v>44713.459027777782</v>
      </c>
      <c r="E342" t="s">
        <v>148</v>
      </c>
      <c r="F342" t="s">
        <v>184</v>
      </c>
      <c r="G342">
        <v>266255</v>
      </c>
      <c r="H342">
        <v>102.56</v>
      </c>
      <c r="I342">
        <v>0</v>
      </c>
      <c r="J342" t="s">
        <v>188</v>
      </c>
      <c r="K342">
        <v>102.56</v>
      </c>
      <c r="L342">
        <v>0</v>
      </c>
      <c r="N342">
        <v>1</v>
      </c>
      <c r="O342">
        <v>6045</v>
      </c>
    </row>
    <row r="343" spans="1:15" x14ac:dyDescent="0.25">
      <c r="A343" s="2">
        <v>44725</v>
      </c>
      <c r="B343" t="s">
        <v>35</v>
      </c>
      <c r="C343">
        <v>893584</v>
      </c>
      <c r="D343" s="2">
        <v>44725.423611111109</v>
      </c>
      <c r="E343" t="s">
        <v>151</v>
      </c>
      <c r="G343">
        <v>0</v>
      </c>
      <c r="H343">
        <v>0</v>
      </c>
      <c r="I343">
        <v>343</v>
      </c>
      <c r="J343" t="s">
        <v>186</v>
      </c>
      <c r="K343">
        <v>-343</v>
      </c>
      <c r="L343">
        <v>-343</v>
      </c>
      <c r="N343">
        <v>1</v>
      </c>
      <c r="O343">
        <v>6045</v>
      </c>
    </row>
    <row r="344" spans="1:15" x14ac:dyDescent="0.25">
      <c r="A344" s="2">
        <v>44725</v>
      </c>
      <c r="B344" t="s">
        <v>35</v>
      </c>
      <c r="C344">
        <v>893584</v>
      </c>
      <c r="D344" s="2">
        <v>44725.423611111109</v>
      </c>
      <c r="E344" t="s">
        <v>146</v>
      </c>
      <c r="F344" t="s">
        <v>183</v>
      </c>
      <c r="G344">
        <v>354699</v>
      </c>
      <c r="H344">
        <v>28.81</v>
      </c>
      <c r="I344">
        <v>0</v>
      </c>
      <c r="J344" t="s">
        <v>187</v>
      </c>
      <c r="K344">
        <v>28.81</v>
      </c>
      <c r="L344">
        <v>-314.19</v>
      </c>
      <c r="N344">
        <v>1</v>
      </c>
      <c r="O344">
        <v>6045</v>
      </c>
    </row>
    <row r="345" spans="1:15" x14ac:dyDescent="0.25">
      <c r="A345" s="2">
        <v>44725</v>
      </c>
      <c r="B345" t="s">
        <v>35</v>
      </c>
      <c r="C345">
        <v>893594</v>
      </c>
      <c r="D345" s="2">
        <v>44725.426388888889</v>
      </c>
      <c r="E345" t="s">
        <v>148</v>
      </c>
      <c r="F345" t="s">
        <v>184</v>
      </c>
      <c r="G345">
        <v>267048</v>
      </c>
      <c r="H345">
        <v>314.19</v>
      </c>
      <c r="I345">
        <v>0</v>
      </c>
      <c r="J345" t="s">
        <v>188</v>
      </c>
      <c r="K345">
        <v>314.19</v>
      </c>
      <c r="L345">
        <v>0</v>
      </c>
      <c r="N345">
        <v>1</v>
      </c>
      <c r="O345">
        <v>6045</v>
      </c>
    </row>
    <row r="346" spans="1:15" x14ac:dyDescent="0.25">
      <c r="A346" s="2">
        <v>44740</v>
      </c>
      <c r="B346" t="s">
        <v>35</v>
      </c>
      <c r="C346">
        <v>896912</v>
      </c>
      <c r="D346" s="2">
        <v>44740.022222222222</v>
      </c>
      <c r="E346" t="s">
        <v>149</v>
      </c>
      <c r="F346" t="s">
        <v>183</v>
      </c>
      <c r="G346">
        <v>356709</v>
      </c>
      <c r="H346">
        <v>6</v>
      </c>
      <c r="I346">
        <v>0</v>
      </c>
      <c r="J346" t="s">
        <v>185</v>
      </c>
      <c r="K346">
        <v>6</v>
      </c>
      <c r="L346">
        <v>6</v>
      </c>
      <c r="N346">
        <v>1</v>
      </c>
      <c r="O346">
        <v>6045</v>
      </c>
    </row>
    <row r="347" spans="1:15" x14ac:dyDescent="0.25">
      <c r="A347" s="2">
        <v>44740</v>
      </c>
      <c r="B347" t="s">
        <v>35</v>
      </c>
      <c r="C347">
        <v>897193</v>
      </c>
      <c r="D347" s="2">
        <v>44740.519444444442</v>
      </c>
      <c r="E347" t="s">
        <v>151</v>
      </c>
      <c r="G347">
        <v>0</v>
      </c>
      <c r="H347">
        <v>0</v>
      </c>
      <c r="I347">
        <v>157</v>
      </c>
      <c r="J347" t="s">
        <v>186</v>
      </c>
      <c r="K347">
        <v>-157</v>
      </c>
      <c r="L347">
        <v>-151</v>
      </c>
      <c r="N347">
        <v>1</v>
      </c>
      <c r="O347">
        <v>6045</v>
      </c>
    </row>
    <row r="348" spans="1:15" x14ac:dyDescent="0.25">
      <c r="A348" s="2">
        <v>44740</v>
      </c>
      <c r="B348" t="s">
        <v>35</v>
      </c>
      <c r="C348">
        <v>897193</v>
      </c>
      <c r="D348" s="2">
        <v>44740.519444444442</v>
      </c>
      <c r="E348" t="s">
        <v>146</v>
      </c>
      <c r="F348" t="s">
        <v>183</v>
      </c>
      <c r="G348">
        <v>357030</v>
      </c>
      <c r="H348">
        <v>13.19</v>
      </c>
      <c r="I348">
        <v>0</v>
      </c>
      <c r="J348" t="s">
        <v>187</v>
      </c>
      <c r="K348">
        <v>13.19</v>
      </c>
      <c r="L348">
        <v>-137.81</v>
      </c>
      <c r="N348">
        <v>1</v>
      </c>
      <c r="O348">
        <v>6045</v>
      </c>
    </row>
    <row r="349" spans="1:15" x14ac:dyDescent="0.25">
      <c r="A349" s="2">
        <v>44740</v>
      </c>
      <c r="B349" t="s">
        <v>35</v>
      </c>
      <c r="C349">
        <v>897206</v>
      </c>
      <c r="D349" s="2">
        <v>44740.520138888889</v>
      </c>
      <c r="E349" t="s">
        <v>148</v>
      </c>
      <c r="F349" t="s">
        <v>184</v>
      </c>
      <c r="G349">
        <v>268751</v>
      </c>
      <c r="H349">
        <v>137.81</v>
      </c>
      <c r="I349">
        <v>0</v>
      </c>
      <c r="J349" t="s">
        <v>188</v>
      </c>
      <c r="K349">
        <v>137.81</v>
      </c>
      <c r="L349">
        <v>0</v>
      </c>
      <c r="N349">
        <v>1</v>
      </c>
      <c r="O349">
        <v>6045</v>
      </c>
    </row>
    <row r="350" spans="1:15" x14ac:dyDescent="0.25">
      <c r="A350" s="2">
        <v>44754</v>
      </c>
      <c r="B350" t="s">
        <v>35</v>
      </c>
      <c r="C350">
        <v>900100</v>
      </c>
      <c r="D350" s="2">
        <v>44754.463194444441</v>
      </c>
      <c r="E350" t="s">
        <v>152</v>
      </c>
      <c r="G350">
        <v>0</v>
      </c>
      <c r="H350">
        <v>0</v>
      </c>
      <c r="I350">
        <v>304.52</v>
      </c>
      <c r="J350" t="s">
        <v>186</v>
      </c>
      <c r="K350">
        <v>-304.52</v>
      </c>
      <c r="L350">
        <v>-304.52</v>
      </c>
      <c r="N350">
        <v>1</v>
      </c>
      <c r="O350">
        <v>6045</v>
      </c>
    </row>
    <row r="351" spans="1:15" x14ac:dyDescent="0.25">
      <c r="A351" s="2">
        <v>44754</v>
      </c>
      <c r="B351" t="s">
        <v>35</v>
      </c>
      <c r="C351">
        <v>900100</v>
      </c>
      <c r="D351" s="2">
        <v>44754.463194444441</v>
      </c>
      <c r="E351" t="s">
        <v>146</v>
      </c>
      <c r="F351" t="s">
        <v>183</v>
      </c>
      <c r="G351">
        <v>358582</v>
      </c>
      <c r="H351">
        <v>25.58</v>
      </c>
      <c r="I351">
        <v>0</v>
      </c>
      <c r="J351" t="s">
        <v>187</v>
      </c>
      <c r="K351">
        <v>25.58</v>
      </c>
      <c r="L351">
        <v>-278.94</v>
      </c>
      <c r="N351">
        <v>1</v>
      </c>
      <c r="O351">
        <v>6045</v>
      </c>
    </row>
    <row r="352" spans="1:15" x14ac:dyDescent="0.25">
      <c r="A352" s="2">
        <v>44754</v>
      </c>
      <c r="B352" t="s">
        <v>35</v>
      </c>
      <c r="C352">
        <v>900107</v>
      </c>
      <c r="D352" s="2">
        <v>44754.465277777781</v>
      </c>
      <c r="E352" t="s">
        <v>148</v>
      </c>
      <c r="F352" t="s">
        <v>184</v>
      </c>
      <c r="G352">
        <v>269981</v>
      </c>
      <c r="H352">
        <v>278.94</v>
      </c>
      <c r="I352">
        <v>0</v>
      </c>
      <c r="J352" t="s">
        <v>188</v>
      </c>
      <c r="K352">
        <v>278.94</v>
      </c>
      <c r="L352">
        <v>0</v>
      </c>
      <c r="N352">
        <v>1</v>
      </c>
      <c r="O352">
        <v>6045</v>
      </c>
    </row>
    <row r="353" spans="1:15" x14ac:dyDescent="0.25">
      <c r="A353" s="2">
        <v>44768</v>
      </c>
      <c r="B353" t="s">
        <v>35</v>
      </c>
      <c r="C353">
        <v>903382</v>
      </c>
      <c r="D353" s="2">
        <v>44768.462500000001</v>
      </c>
      <c r="E353" t="s">
        <v>152</v>
      </c>
      <c r="G353">
        <v>0</v>
      </c>
      <c r="H353">
        <v>0</v>
      </c>
      <c r="I353">
        <v>195.48</v>
      </c>
      <c r="J353" t="s">
        <v>186</v>
      </c>
      <c r="K353">
        <v>-195.48</v>
      </c>
      <c r="L353">
        <v>-195.48</v>
      </c>
      <c r="N353">
        <v>1</v>
      </c>
      <c r="O353">
        <v>6045</v>
      </c>
    </row>
    <row r="354" spans="1:15" x14ac:dyDescent="0.25">
      <c r="A354" s="2">
        <v>44768</v>
      </c>
      <c r="B354" t="s">
        <v>35</v>
      </c>
      <c r="C354">
        <v>903382</v>
      </c>
      <c r="D354" s="2">
        <v>44768.462500000001</v>
      </c>
      <c r="E354" t="s">
        <v>146</v>
      </c>
      <c r="F354" t="s">
        <v>183</v>
      </c>
      <c r="G354">
        <v>359972</v>
      </c>
      <c r="H354">
        <v>16.420000000000002</v>
      </c>
      <c r="I354">
        <v>0</v>
      </c>
      <c r="J354" t="s">
        <v>187</v>
      </c>
      <c r="K354">
        <v>16.420000000000002</v>
      </c>
      <c r="L354">
        <v>-179.06</v>
      </c>
      <c r="N354">
        <v>1</v>
      </c>
      <c r="O354">
        <v>6045</v>
      </c>
    </row>
    <row r="355" spans="1:15" x14ac:dyDescent="0.25">
      <c r="A355" s="2">
        <v>44768</v>
      </c>
      <c r="B355" t="s">
        <v>35</v>
      </c>
      <c r="C355">
        <v>903398</v>
      </c>
      <c r="D355" s="2">
        <v>44768.463888888888</v>
      </c>
      <c r="E355" t="s">
        <v>148</v>
      </c>
      <c r="F355" t="s">
        <v>184</v>
      </c>
      <c r="G355">
        <v>271516</v>
      </c>
      <c r="H355">
        <v>179.06</v>
      </c>
      <c r="I355">
        <v>0</v>
      </c>
      <c r="J355" t="s">
        <v>188</v>
      </c>
      <c r="K355">
        <v>179.06</v>
      </c>
      <c r="L355">
        <v>0</v>
      </c>
      <c r="N355">
        <v>1</v>
      </c>
      <c r="O355">
        <v>6045</v>
      </c>
    </row>
    <row r="356" spans="1:15" x14ac:dyDescent="0.25">
      <c r="A356" s="2">
        <v>44770</v>
      </c>
      <c r="B356" t="s">
        <v>35</v>
      </c>
      <c r="C356">
        <v>903686</v>
      </c>
      <c r="D356" s="2">
        <v>44770.022222222222</v>
      </c>
      <c r="E356" t="s">
        <v>149</v>
      </c>
      <c r="F356" t="s">
        <v>183</v>
      </c>
      <c r="G356">
        <v>360753</v>
      </c>
      <c r="H356">
        <v>6</v>
      </c>
      <c r="I356">
        <v>0</v>
      </c>
      <c r="J356" t="s">
        <v>185</v>
      </c>
      <c r="K356">
        <v>6</v>
      </c>
      <c r="L356">
        <v>6</v>
      </c>
      <c r="N356">
        <v>0</v>
      </c>
      <c r="O356">
        <v>6045</v>
      </c>
    </row>
    <row r="357" spans="1:15" x14ac:dyDescent="0.25">
      <c r="A357" s="2">
        <v>44659</v>
      </c>
      <c r="B357" t="s">
        <v>36</v>
      </c>
      <c r="C357">
        <v>880230</v>
      </c>
      <c r="D357" s="2">
        <v>44659.439583333333</v>
      </c>
      <c r="E357" t="s">
        <v>153</v>
      </c>
      <c r="G357">
        <v>0</v>
      </c>
      <c r="H357">
        <v>0</v>
      </c>
      <c r="I357">
        <v>500</v>
      </c>
      <c r="J357" t="s">
        <v>186</v>
      </c>
      <c r="K357">
        <v>-500</v>
      </c>
      <c r="L357">
        <v>-500</v>
      </c>
      <c r="N357">
        <v>1</v>
      </c>
      <c r="O357">
        <v>6045</v>
      </c>
    </row>
    <row r="358" spans="1:15" x14ac:dyDescent="0.25">
      <c r="A358" s="2">
        <v>44659</v>
      </c>
      <c r="B358" t="s">
        <v>36</v>
      </c>
      <c r="C358">
        <v>880230</v>
      </c>
      <c r="D358" s="2">
        <v>44659.439583333333</v>
      </c>
      <c r="E358" t="s">
        <v>154</v>
      </c>
      <c r="F358" t="s">
        <v>183</v>
      </c>
      <c r="G358">
        <v>346415</v>
      </c>
      <c r="H358">
        <v>42</v>
      </c>
      <c r="I358">
        <v>0</v>
      </c>
      <c r="J358" t="s">
        <v>187</v>
      </c>
      <c r="K358">
        <v>42</v>
      </c>
      <c r="L358">
        <v>-458</v>
      </c>
      <c r="N358">
        <v>1</v>
      </c>
      <c r="O358">
        <v>6045</v>
      </c>
    </row>
    <row r="359" spans="1:15" x14ac:dyDescent="0.25">
      <c r="A359" s="2">
        <v>44659</v>
      </c>
      <c r="B359" t="s">
        <v>36</v>
      </c>
      <c r="C359">
        <v>880236</v>
      </c>
      <c r="D359" s="2">
        <v>44659.440972222219</v>
      </c>
      <c r="E359" t="s">
        <v>155</v>
      </c>
      <c r="F359" t="s">
        <v>184</v>
      </c>
      <c r="G359">
        <v>261233</v>
      </c>
      <c r="H359">
        <v>452</v>
      </c>
      <c r="I359">
        <v>0</v>
      </c>
      <c r="J359" t="s">
        <v>188</v>
      </c>
      <c r="K359">
        <v>452</v>
      </c>
      <c r="L359">
        <v>-6</v>
      </c>
      <c r="N359">
        <v>1</v>
      </c>
      <c r="O359">
        <v>6045</v>
      </c>
    </row>
    <row r="360" spans="1:15" x14ac:dyDescent="0.25">
      <c r="A360" s="2">
        <v>44679</v>
      </c>
      <c r="B360" t="s">
        <v>36</v>
      </c>
      <c r="C360">
        <v>884442</v>
      </c>
      <c r="D360" s="2">
        <v>44679.022222222222</v>
      </c>
      <c r="E360" t="s">
        <v>156</v>
      </c>
      <c r="F360" t="s">
        <v>183</v>
      </c>
      <c r="G360">
        <v>349009</v>
      </c>
      <c r="H360">
        <v>6</v>
      </c>
      <c r="I360">
        <v>0</v>
      </c>
      <c r="J360" t="s">
        <v>185</v>
      </c>
      <c r="K360">
        <v>6</v>
      </c>
      <c r="L360">
        <v>6</v>
      </c>
      <c r="N360">
        <v>1</v>
      </c>
      <c r="O360">
        <v>6045</v>
      </c>
    </row>
    <row r="361" spans="1:15" x14ac:dyDescent="0.25">
      <c r="A361" s="2">
        <v>44691</v>
      </c>
      <c r="B361" t="s">
        <v>36</v>
      </c>
      <c r="C361">
        <v>886942</v>
      </c>
      <c r="D361" s="2">
        <v>44691.475694444453</v>
      </c>
      <c r="E361" t="s">
        <v>157</v>
      </c>
      <c r="G361">
        <v>0</v>
      </c>
      <c r="H361">
        <v>0</v>
      </c>
      <c r="I361">
        <v>500</v>
      </c>
      <c r="J361" t="s">
        <v>186</v>
      </c>
      <c r="K361">
        <v>-500</v>
      </c>
      <c r="L361">
        <v>-494</v>
      </c>
      <c r="N361">
        <v>1</v>
      </c>
      <c r="O361">
        <v>6045</v>
      </c>
    </row>
    <row r="362" spans="1:15" x14ac:dyDescent="0.25">
      <c r="A362" s="2">
        <v>44691</v>
      </c>
      <c r="B362" t="s">
        <v>36</v>
      </c>
      <c r="C362">
        <v>886942</v>
      </c>
      <c r="D362" s="2">
        <v>44691.475694444453</v>
      </c>
      <c r="E362" t="s">
        <v>154</v>
      </c>
      <c r="F362" t="s">
        <v>183</v>
      </c>
      <c r="G362">
        <v>350591</v>
      </c>
      <c r="H362">
        <v>42</v>
      </c>
      <c r="I362">
        <v>0</v>
      </c>
      <c r="J362" t="s">
        <v>187</v>
      </c>
      <c r="K362">
        <v>42</v>
      </c>
      <c r="L362">
        <v>-452</v>
      </c>
      <c r="N362">
        <v>1</v>
      </c>
      <c r="O362">
        <v>6045</v>
      </c>
    </row>
    <row r="363" spans="1:15" x14ac:dyDescent="0.25">
      <c r="A363" s="2">
        <v>44691</v>
      </c>
      <c r="B363" t="s">
        <v>36</v>
      </c>
      <c r="C363">
        <v>886961</v>
      </c>
      <c r="D363" s="2">
        <v>44691.477777777778</v>
      </c>
      <c r="E363" t="s">
        <v>155</v>
      </c>
      <c r="F363" t="s">
        <v>184</v>
      </c>
      <c r="G363">
        <v>264105</v>
      </c>
      <c r="H363">
        <v>452</v>
      </c>
      <c r="I363">
        <v>0</v>
      </c>
      <c r="J363" t="s">
        <v>188</v>
      </c>
      <c r="K363">
        <v>452</v>
      </c>
      <c r="L363">
        <v>0</v>
      </c>
      <c r="N363">
        <v>1</v>
      </c>
      <c r="O363">
        <v>6045</v>
      </c>
    </row>
    <row r="364" spans="1:15" x14ac:dyDescent="0.25">
      <c r="A364" s="2">
        <v>44709</v>
      </c>
      <c r="B364" t="s">
        <v>36</v>
      </c>
      <c r="C364">
        <v>890834</v>
      </c>
      <c r="D364" s="2">
        <v>44709.022222222222</v>
      </c>
      <c r="E364" t="s">
        <v>156</v>
      </c>
      <c r="F364" t="s">
        <v>183</v>
      </c>
      <c r="G364">
        <v>353036</v>
      </c>
      <c r="H364">
        <v>6</v>
      </c>
      <c r="I364">
        <v>0</v>
      </c>
      <c r="J364" t="s">
        <v>185</v>
      </c>
      <c r="K364">
        <v>6</v>
      </c>
      <c r="L364">
        <v>6</v>
      </c>
      <c r="N364">
        <v>1</v>
      </c>
      <c r="O364">
        <v>6045</v>
      </c>
    </row>
    <row r="365" spans="1:15" x14ac:dyDescent="0.25">
      <c r="A365" s="2">
        <v>44720</v>
      </c>
      <c r="B365" t="s">
        <v>36</v>
      </c>
      <c r="C365">
        <v>892872</v>
      </c>
      <c r="D365" s="2">
        <v>44720.447222222218</v>
      </c>
      <c r="E365" t="s">
        <v>158</v>
      </c>
      <c r="G365">
        <v>0</v>
      </c>
      <c r="H365">
        <v>0</v>
      </c>
      <c r="I365">
        <v>479.8</v>
      </c>
      <c r="J365" t="s">
        <v>186</v>
      </c>
      <c r="K365">
        <v>-479.8</v>
      </c>
      <c r="L365">
        <v>-473.8</v>
      </c>
      <c r="N365">
        <v>1</v>
      </c>
      <c r="O365">
        <v>6045</v>
      </c>
    </row>
    <row r="366" spans="1:15" x14ac:dyDescent="0.25">
      <c r="A366" s="2">
        <v>44720</v>
      </c>
      <c r="B366" t="s">
        <v>36</v>
      </c>
      <c r="C366">
        <v>892872</v>
      </c>
      <c r="D366" s="2">
        <v>44720.447222222218</v>
      </c>
      <c r="E366" t="s">
        <v>154</v>
      </c>
      <c r="F366" t="s">
        <v>183</v>
      </c>
      <c r="G366">
        <v>354276</v>
      </c>
      <c r="H366">
        <v>40.31</v>
      </c>
      <c r="I366">
        <v>0</v>
      </c>
      <c r="J366" t="s">
        <v>187</v>
      </c>
      <c r="K366">
        <v>40.31</v>
      </c>
      <c r="L366">
        <v>-433.49</v>
      </c>
      <c r="N366">
        <v>1</v>
      </c>
      <c r="O366">
        <v>6045</v>
      </c>
    </row>
    <row r="367" spans="1:15" x14ac:dyDescent="0.25">
      <c r="A367" s="2">
        <v>44720</v>
      </c>
      <c r="B367" t="s">
        <v>36</v>
      </c>
      <c r="C367">
        <v>892878</v>
      </c>
      <c r="D367" s="2">
        <v>44720.45</v>
      </c>
      <c r="E367" t="s">
        <v>155</v>
      </c>
      <c r="F367" t="s">
        <v>184</v>
      </c>
      <c r="G367">
        <v>266796</v>
      </c>
      <c r="H367">
        <v>433.49</v>
      </c>
      <c r="I367">
        <v>0</v>
      </c>
      <c r="J367" t="s">
        <v>188</v>
      </c>
      <c r="K367">
        <v>433.49</v>
      </c>
      <c r="L367">
        <v>0</v>
      </c>
      <c r="N367">
        <v>1</v>
      </c>
      <c r="O367">
        <v>6045</v>
      </c>
    </row>
    <row r="368" spans="1:15" x14ac:dyDescent="0.25">
      <c r="A368" s="2">
        <v>44740</v>
      </c>
      <c r="B368" t="s">
        <v>36</v>
      </c>
      <c r="C368">
        <v>896912</v>
      </c>
      <c r="D368" s="2">
        <v>44740.022222222222</v>
      </c>
      <c r="E368" t="s">
        <v>156</v>
      </c>
      <c r="F368" t="s">
        <v>183</v>
      </c>
      <c r="G368">
        <v>356816</v>
      </c>
      <c r="H368">
        <v>6</v>
      </c>
      <c r="I368">
        <v>0</v>
      </c>
      <c r="J368" t="s">
        <v>185</v>
      </c>
      <c r="K368">
        <v>6</v>
      </c>
      <c r="L368">
        <v>6</v>
      </c>
      <c r="N368">
        <v>1</v>
      </c>
      <c r="O368">
        <v>6045</v>
      </c>
    </row>
    <row r="369" spans="1:15" x14ac:dyDescent="0.25">
      <c r="A369" s="2">
        <v>44750</v>
      </c>
      <c r="B369" t="s">
        <v>36</v>
      </c>
      <c r="C369">
        <v>899486</v>
      </c>
      <c r="D369" s="2">
        <v>44750.447916666657</v>
      </c>
      <c r="E369" t="s">
        <v>158</v>
      </c>
      <c r="G369">
        <v>0</v>
      </c>
      <c r="H369">
        <v>0</v>
      </c>
      <c r="I369">
        <v>20.2</v>
      </c>
      <c r="J369" t="s">
        <v>186</v>
      </c>
      <c r="K369">
        <v>-20.2</v>
      </c>
      <c r="L369">
        <v>-14.2</v>
      </c>
      <c r="N369">
        <v>1</v>
      </c>
      <c r="O369">
        <v>6045</v>
      </c>
    </row>
    <row r="370" spans="1:15" x14ac:dyDescent="0.25">
      <c r="A370" s="2">
        <v>44750</v>
      </c>
      <c r="B370" t="s">
        <v>36</v>
      </c>
      <c r="C370">
        <v>899486</v>
      </c>
      <c r="D370" s="2">
        <v>44750.447916666657</v>
      </c>
      <c r="E370" t="s">
        <v>154</v>
      </c>
      <c r="F370" t="s">
        <v>183</v>
      </c>
      <c r="G370">
        <v>358198</v>
      </c>
      <c r="H370">
        <v>1.69</v>
      </c>
      <c r="I370">
        <v>0</v>
      </c>
      <c r="J370" t="s">
        <v>187</v>
      </c>
      <c r="K370">
        <v>1.69</v>
      </c>
      <c r="L370">
        <v>-12.51</v>
      </c>
      <c r="N370">
        <v>1</v>
      </c>
      <c r="O370">
        <v>6045</v>
      </c>
    </row>
    <row r="371" spans="1:15" x14ac:dyDescent="0.25">
      <c r="A371" s="2">
        <v>44750</v>
      </c>
      <c r="B371" t="s">
        <v>36</v>
      </c>
      <c r="C371">
        <v>899486</v>
      </c>
      <c r="D371" s="2">
        <v>44750.447916666657</v>
      </c>
      <c r="E371" t="s">
        <v>159</v>
      </c>
      <c r="G371">
        <v>0</v>
      </c>
      <c r="H371">
        <v>0</v>
      </c>
      <c r="I371">
        <v>441.32</v>
      </c>
      <c r="J371" t="s">
        <v>186</v>
      </c>
      <c r="K371">
        <v>-441.32</v>
      </c>
      <c r="L371">
        <v>-453.83</v>
      </c>
      <c r="N371">
        <v>1</v>
      </c>
      <c r="O371">
        <v>6045</v>
      </c>
    </row>
    <row r="372" spans="1:15" x14ac:dyDescent="0.25">
      <c r="A372" s="2">
        <v>44750</v>
      </c>
      <c r="B372" t="s">
        <v>36</v>
      </c>
      <c r="C372">
        <v>899486</v>
      </c>
      <c r="D372" s="2">
        <v>44750.447916666657</v>
      </c>
      <c r="E372" t="s">
        <v>154</v>
      </c>
      <c r="F372" t="s">
        <v>183</v>
      </c>
      <c r="G372">
        <v>358198</v>
      </c>
      <c r="H372">
        <v>37.07</v>
      </c>
      <c r="I372">
        <v>0</v>
      </c>
      <c r="J372" t="s">
        <v>187</v>
      </c>
      <c r="K372">
        <v>37.07</v>
      </c>
      <c r="L372">
        <v>-416.76</v>
      </c>
      <c r="N372">
        <v>1</v>
      </c>
      <c r="O372">
        <v>6045</v>
      </c>
    </row>
    <row r="373" spans="1:15" x14ac:dyDescent="0.25">
      <c r="A373" s="2">
        <v>44750</v>
      </c>
      <c r="B373" t="s">
        <v>36</v>
      </c>
      <c r="C373">
        <v>899492</v>
      </c>
      <c r="D373" s="2">
        <v>44750.450694444437</v>
      </c>
      <c r="E373" t="s">
        <v>155</v>
      </c>
      <c r="F373" t="s">
        <v>184</v>
      </c>
      <c r="G373">
        <v>269658</v>
      </c>
      <c r="H373">
        <v>416.76</v>
      </c>
      <c r="I373">
        <v>0</v>
      </c>
      <c r="J373" t="s">
        <v>188</v>
      </c>
      <c r="K373">
        <v>416.76</v>
      </c>
      <c r="L373">
        <v>0</v>
      </c>
      <c r="N373">
        <v>1</v>
      </c>
      <c r="O373">
        <v>6045</v>
      </c>
    </row>
    <row r="374" spans="1:15" x14ac:dyDescent="0.25">
      <c r="A374" s="2">
        <v>44770</v>
      </c>
      <c r="B374" t="s">
        <v>36</v>
      </c>
      <c r="C374">
        <v>903686</v>
      </c>
      <c r="D374" s="2">
        <v>44770.022222222222</v>
      </c>
      <c r="E374" t="s">
        <v>156</v>
      </c>
      <c r="F374" t="s">
        <v>183</v>
      </c>
      <c r="G374">
        <v>360855</v>
      </c>
      <c r="H374">
        <v>6</v>
      </c>
      <c r="I374">
        <v>0</v>
      </c>
      <c r="J374" t="s">
        <v>185</v>
      </c>
      <c r="K374">
        <v>6</v>
      </c>
      <c r="L374">
        <v>6</v>
      </c>
      <c r="N374">
        <v>0</v>
      </c>
      <c r="O374">
        <v>6045</v>
      </c>
    </row>
    <row r="375" spans="1:15" x14ac:dyDescent="0.25">
      <c r="A375" s="2">
        <v>44770</v>
      </c>
      <c r="B375" t="s">
        <v>36</v>
      </c>
      <c r="C375">
        <v>903826</v>
      </c>
      <c r="D375" s="2">
        <v>44770.476388888892</v>
      </c>
      <c r="E375" t="s">
        <v>159</v>
      </c>
      <c r="G375">
        <v>0</v>
      </c>
      <c r="H375">
        <v>0</v>
      </c>
      <c r="I375">
        <v>58.68</v>
      </c>
      <c r="J375" t="s">
        <v>186</v>
      </c>
      <c r="K375">
        <v>-58.68</v>
      </c>
      <c r="L375">
        <v>-52.68</v>
      </c>
      <c r="N375">
        <v>0</v>
      </c>
      <c r="O375">
        <v>6045</v>
      </c>
    </row>
    <row r="376" spans="1:15" x14ac:dyDescent="0.25">
      <c r="A376" s="2">
        <v>44770</v>
      </c>
      <c r="B376" t="s">
        <v>36</v>
      </c>
      <c r="C376">
        <v>903826</v>
      </c>
      <c r="D376" s="2">
        <v>44770.476388888892</v>
      </c>
      <c r="E376" t="s">
        <v>154</v>
      </c>
      <c r="F376" t="s">
        <v>183</v>
      </c>
      <c r="G376">
        <v>360998</v>
      </c>
      <c r="H376">
        <v>4.93</v>
      </c>
      <c r="I376">
        <v>0</v>
      </c>
      <c r="J376" t="s">
        <v>187</v>
      </c>
      <c r="K376">
        <v>4.93</v>
      </c>
      <c r="L376">
        <v>-47.75</v>
      </c>
      <c r="N376">
        <v>0</v>
      </c>
      <c r="O376">
        <v>6045</v>
      </c>
    </row>
    <row r="377" spans="1:15" x14ac:dyDescent="0.25">
      <c r="A377" s="2">
        <v>44770</v>
      </c>
      <c r="B377" t="s">
        <v>36</v>
      </c>
      <c r="C377">
        <v>903833</v>
      </c>
      <c r="D377" s="2">
        <v>44770.480555555558</v>
      </c>
      <c r="E377" t="s">
        <v>155</v>
      </c>
      <c r="F377" t="s">
        <v>184</v>
      </c>
      <c r="G377">
        <v>271665</v>
      </c>
      <c r="H377">
        <v>47.75</v>
      </c>
      <c r="I377">
        <v>0</v>
      </c>
      <c r="J377" t="s">
        <v>188</v>
      </c>
      <c r="K377">
        <v>47.75</v>
      </c>
      <c r="L377">
        <v>0</v>
      </c>
      <c r="N377">
        <v>0</v>
      </c>
      <c r="O377">
        <v>6045</v>
      </c>
    </row>
    <row r="378" spans="1:15" x14ac:dyDescent="0.25">
      <c r="A378" s="2">
        <v>44658</v>
      </c>
      <c r="B378" t="s">
        <v>37</v>
      </c>
      <c r="C378">
        <v>880059</v>
      </c>
      <c r="D378" s="2">
        <v>44658.509027777778</v>
      </c>
      <c r="E378" t="s">
        <v>160</v>
      </c>
      <c r="G378">
        <v>0</v>
      </c>
      <c r="H378">
        <v>0</v>
      </c>
      <c r="I378">
        <v>231.6</v>
      </c>
      <c r="J378" t="s">
        <v>186</v>
      </c>
      <c r="K378">
        <v>-231.6</v>
      </c>
      <c r="L378">
        <v>-231.6</v>
      </c>
      <c r="N378">
        <v>1</v>
      </c>
      <c r="O378">
        <v>6045</v>
      </c>
    </row>
    <row r="379" spans="1:15" x14ac:dyDescent="0.25">
      <c r="A379" s="2">
        <v>44658</v>
      </c>
      <c r="B379" t="s">
        <v>37</v>
      </c>
      <c r="C379">
        <v>880059</v>
      </c>
      <c r="D379" s="2">
        <v>44658.509027777778</v>
      </c>
      <c r="E379" t="s">
        <v>161</v>
      </c>
      <c r="F379" t="s">
        <v>183</v>
      </c>
      <c r="G379">
        <v>346270</v>
      </c>
      <c r="H379">
        <v>19.45</v>
      </c>
      <c r="I379">
        <v>0</v>
      </c>
      <c r="J379" t="s">
        <v>187</v>
      </c>
      <c r="K379">
        <v>19.45</v>
      </c>
      <c r="L379">
        <v>-212.15</v>
      </c>
      <c r="N379">
        <v>1</v>
      </c>
      <c r="O379">
        <v>6045</v>
      </c>
    </row>
    <row r="380" spans="1:15" x14ac:dyDescent="0.25">
      <c r="A380" s="2">
        <v>44658</v>
      </c>
      <c r="B380" t="s">
        <v>37</v>
      </c>
      <c r="C380">
        <v>880097</v>
      </c>
      <c r="D380" s="2">
        <v>44658.547222222223</v>
      </c>
      <c r="E380" t="s">
        <v>162</v>
      </c>
      <c r="F380" t="s">
        <v>184</v>
      </c>
      <c r="G380">
        <v>261185</v>
      </c>
      <c r="H380">
        <v>206.15</v>
      </c>
      <c r="I380">
        <v>0</v>
      </c>
      <c r="J380" t="s">
        <v>188</v>
      </c>
      <c r="K380">
        <v>206.15</v>
      </c>
      <c r="L380">
        <v>-6</v>
      </c>
      <c r="N380">
        <v>1</v>
      </c>
      <c r="O380">
        <v>6045</v>
      </c>
    </row>
    <row r="381" spans="1:15" x14ac:dyDescent="0.25">
      <c r="A381" s="2">
        <v>44665</v>
      </c>
      <c r="B381" t="s">
        <v>37</v>
      </c>
      <c r="C381">
        <v>881465</v>
      </c>
      <c r="D381" s="2">
        <v>44665.51666666667</v>
      </c>
      <c r="E381" t="s">
        <v>163</v>
      </c>
      <c r="G381">
        <v>0</v>
      </c>
      <c r="H381">
        <v>0</v>
      </c>
      <c r="I381">
        <v>229.92</v>
      </c>
      <c r="J381" t="s">
        <v>186</v>
      </c>
      <c r="K381">
        <v>-229.92</v>
      </c>
      <c r="L381">
        <v>-229.92</v>
      </c>
      <c r="N381">
        <v>1</v>
      </c>
      <c r="O381">
        <v>6045</v>
      </c>
    </row>
    <row r="382" spans="1:15" x14ac:dyDescent="0.25">
      <c r="A382" s="2">
        <v>44665</v>
      </c>
      <c r="B382" t="s">
        <v>37</v>
      </c>
      <c r="C382">
        <v>881465</v>
      </c>
      <c r="D382" s="2">
        <v>44665.51666666667</v>
      </c>
      <c r="E382" t="s">
        <v>161</v>
      </c>
      <c r="F382" t="s">
        <v>183</v>
      </c>
      <c r="G382">
        <v>346958</v>
      </c>
      <c r="H382">
        <v>19.309999999999999</v>
      </c>
      <c r="I382">
        <v>0</v>
      </c>
      <c r="J382" t="s">
        <v>187</v>
      </c>
      <c r="K382">
        <v>19.309999999999999</v>
      </c>
      <c r="L382">
        <v>-210.61</v>
      </c>
      <c r="N382">
        <v>1</v>
      </c>
      <c r="O382">
        <v>6045</v>
      </c>
    </row>
    <row r="383" spans="1:15" x14ac:dyDescent="0.25">
      <c r="A383" s="2">
        <v>44665</v>
      </c>
      <c r="B383" t="s">
        <v>37</v>
      </c>
      <c r="C383">
        <v>881467</v>
      </c>
      <c r="D383" s="2">
        <v>44665.517361111109</v>
      </c>
      <c r="E383" t="s">
        <v>162</v>
      </c>
      <c r="F383" t="s">
        <v>184</v>
      </c>
      <c r="G383">
        <v>261869</v>
      </c>
      <c r="H383">
        <v>210.61</v>
      </c>
      <c r="I383">
        <v>0</v>
      </c>
      <c r="J383" t="s">
        <v>188</v>
      </c>
      <c r="K383">
        <v>210.61</v>
      </c>
      <c r="L383">
        <v>0</v>
      </c>
      <c r="N383">
        <v>1</v>
      </c>
      <c r="O383">
        <v>6045</v>
      </c>
    </row>
    <row r="384" spans="1:15" x14ac:dyDescent="0.25">
      <c r="A384" s="2">
        <v>44679</v>
      </c>
      <c r="B384" t="s">
        <v>37</v>
      </c>
      <c r="C384">
        <v>884442</v>
      </c>
      <c r="D384" s="2">
        <v>44679.022222222222</v>
      </c>
      <c r="E384" t="s">
        <v>164</v>
      </c>
      <c r="F384" t="s">
        <v>183</v>
      </c>
      <c r="G384">
        <v>348850</v>
      </c>
      <c r="H384">
        <v>6</v>
      </c>
      <c r="I384">
        <v>0</v>
      </c>
      <c r="J384" t="s">
        <v>185</v>
      </c>
      <c r="K384">
        <v>6</v>
      </c>
      <c r="L384">
        <v>6</v>
      </c>
      <c r="N384">
        <v>1</v>
      </c>
      <c r="O384">
        <v>6045</v>
      </c>
    </row>
    <row r="385" spans="1:15" x14ac:dyDescent="0.25">
      <c r="A385" s="2">
        <v>44691</v>
      </c>
      <c r="B385" t="s">
        <v>37</v>
      </c>
      <c r="C385">
        <v>886943</v>
      </c>
      <c r="D385" s="2">
        <v>44691.475694444453</v>
      </c>
      <c r="E385" t="s">
        <v>163</v>
      </c>
      <c r="G385">
        <v>0</v>
      </c>
      <c r="H385">
        <v>0</v>
      </c>
      <c r="I385">
        <v>270.08</v>
      </c>
      <c r="J385" t="s">
        <v>186</v>
      </c>
      <c r="K385">
        <v>-270.08</v>
      </c>
      <c r="L385">
        <v>-264.08</v>
      </c>
      <c r="N385">
        <v>1</v>
      </c>
      <c r="O385">
        <v>6045</v>
      </c>
    </row>
    <row r="386" spans="1:15" x14ac:dyDescent="0.25">
      <c r="A386" s="2">
        <v>44691</v>
      </c>
      <c r="B386" t="s">
        <v>37</v>
      </c>
      <c r="C386">
        <v>886943</v>
      </c>
      <c r="D386" s="2">
        <v>44691.475694444453</v>
      </c>
      <c r="E386" t="s">
        <v>161</v>
      </c>
      <c r="F386" t="s">
        <v>183</v>
      </c>
      <c r="G386">
        <v>350592</v>
      </c>
      <c r="H386">
        <v>22.69</v>
      </c>
      <c r="I386">
        <v>0</v>
      </c>
      <c r="J386" t="s">
        <v>187</v>
      </c>
      <c r="K386">
        <v>22.69</v>
      </c>
      <c r="L386">
        <v>-241.39</v>
      </c>
      <c r="N386">
        <v>1</v>
      </c>
      <c r="O386">
        <v>6045</v>
      </c>
    </row>
    <row r="387" spans="1:15" x14ac:dyDescent="0.25">
      <c r="A387" s="2">
        <v>44691</v>
      </c>
      <c r="B387" t="s">
        <v>37</v>
      </c>
      <c r="C387">
        <v>886961</v>
      </c>
      <c r="D387" s="2">
        <v>44691.477777777778</v>
      </c>
      <c r="E387" t="s">
        <v>162</v>
      </c>
      <c r="F387" t="s">
        <v>184</v>
      </c>
      <c r="G387">
        <v>264106</v>
      </c>
      <c r="H387">
        <v>241.39</v>
      </c>
      <c r="I387">
        <v>0</v>
      </c>
      <c r="J387" t="s">
        <v>188</v>
      </c>
      <c r="K387">
        <v>241.39</v>
      </c>
      <c r="L387">
        <v>0</v>
      </c>
      <c r="N387">
        <v>1</v>
      </c>
      <c r="O387">
        <v>6045</v>
      </c>
    </row>
    <row r="388" spans="1:15" x14ac:dyDescent="0.25">
      <c r="A388" s="2">
        <v>44695</v>
      </c>
      <c r="B388" t="s">
        <v>37</v>
      </c>
      <c r="C388">
        <v>888023</v>
      </c>
      <c r="D388" s="2">
        <v>44695.424305555563</v>
      </c>
      <c r="E388" t="s">
        <v>165</v>
      </c>
      <c r="G388">
        <v>0</v>
      </c>
      <c r="H388">
        <v>0</v>
      </c>
      <c r="I388">
        <v>191.44</v>
      </c>
      <c r="J388" t="s">
        <v>186</v>
      </c>
      <c r="K388">
        <v>-191.44</v>
      </c>
      <c r="L388">
        <v>-191.44</v>
      </c>
      <c r="N388">
        <v>1</v>
      </c>
      <c r="O388">
        <v>6045</v>
      </c>
    </row>
    <row r="389" spans="1:15" x14ac:dyDescent="0.25">
      <c r="A389" s="2">
        <v>44695</v>
      </c>
      <c r="B389" t="s">
        <v>37</v>
      </c>
      <c r="C389">
        <v>888023</v>
      </c>
      <c r="D389" s="2">
        <v>44695.424305555563</v>
      </c>
      <c r="E389" t="s">
        <v>161</v>
      </c>
      <c r="F389" t="s">
        <v>183</v>
      </c>
      <c r="G389">
        <v>351008</v>
      </c>
      <c r="H389">
        <v>16.079999999999998</v>
      </c>
      <c r="I389">
        <v>0</v>
      </c>
      <c r="J389" t="s">
        <v>187</v>
      </c>
      <c r="K389">
        <v>16.079999999999998</v>
      </c>
      <c r="L389">
        <v>-175.36</v>
      </c>
      <c r="N389">
        <v>1</v>
      </c>
      <c r="O389">
        <v>6045</v>
      </c>
    </row>
    <row r="390" spans="1:15" x14ac:dyDescent="0.25">
      <c r="A390" s="2">
        <v>44695</v>
      </c>
      <c r="B390" t="s">
        <v>37</v>
      </c>
      <c r="C390">
        <v>888024</v>
      </c>
      <c r="D390" s="2">
        <v>44695.425694444442</v>
      </c>
      <c r="E390" t="s">
        <v>162</v>
      </c>
      <c r="F390" t="s">
        <v>184</v>
      </c>
      <c r="G390">
        <v>264542</v>
      </c>
      <c r="H390">
        <v>175.36</v>
      </c>
      <c r="I390">
        <v>0</v>
      </c>
      <c r="J390" t="s">
        <v>188</v>
      </c>
      <c r="K390">
        <v>175.36</v>
      </c>
      <c r="L390">
        <v>0</v>
      </c>
      <c r="N390">
        <v>1</v>
      </c>
      <c r="O390">
        <v>6045</v>
      </c>
    </row>
    <row r="391" spans="1:15" x14ac:dyDescent="0.25">
      <c r="A391" s="2">
        <v>44709</v>
      </c>
      <c r="B391" t="s">
        <v>37</v>
      </c>
      <c r="C391">
        <v>890834</v>
      </c>
      <c r="D391" s="2">
        <v>44709.022222222222</v>
      </c>
      <c r="E391" t="s">
        <v>164</v>
      </c>
      <c r="F391" t="s">
        <v>183</v>
      </c>
      <c r="G391">
        <v>352880</v>
      </c>
      <c r="H391">
        <v>6</v>
      </c>
      <c r="I391">
        <v>0</v>
      </c>
      <c r="J391" t="s">
        <v>185</v>
      </c>
      <c r="K391">
        <v>6</v>
      </c>
      <c r="L391">
        <v>6</v>
      </c>
      <c r="N391">
        <v>1</v>
      </c>
      <c r="O391">
        <v>6045</v>
      </c>
    </row>
    <row r="392" spans="1:15" x14ac:dyDescent="0.25">
      <c r="A392" s="2">
        <v>44713</v>
      </c>
      <c r="B392" t="s">
        <v>37</v>
      </c>
      <c r="C392">
        <v>891724</v>
      </c>
      <c r="D392" s="2">
        <v>44713.456944444442</v>
      </c>
      <c r="E392" t="s">
        <v>165</v>
      </c>
      <c r="G392">
        <v>0</v>
      </c>
      <c r="H392">
        <v>0</v>
      </c>
      <c r="I392">
        <v>308.56</v>
      </c>
      <c r="J392" t="s">
        <v>186</v>
      </c>
      <c r="K392">
        <v>-308.56</v>
      </c>
      <c r="L392">
        <v>-302.56</v>
      </c>
      <c r="N392">
        <v>1</v>
      </c>
      <c r="O392">
        <v>6045</v>
      </c>
    </row>
    <row r="393" spans="1:15" x14ac:dyDescent="0.25">
      <c r="A393" s="2">
        <v>44713</v>
      </c>
      <c r="B393" t="s">
        <v>37</v>
      </c>
      <c r="C393">
        <v>891724</v>
      </c>
      <c r="D393" s="2">
        <v>44713.456944444442</v>
      </c>
      <c r="E393" t="s">
        <v>161</v>
      </c>
      <c r="F393" t="s">
        <v>183</v>
      </c>
      <c r="G393">
        <v>353532</v>
      </c>
      <c r="H393">
        <v>25.92</v>
      </c>
      <c r="I393">
        <v>0</v>
      </c>
      <c r="J393" t="s">
        <v>187</v>
      </c>
      <c r="K393">
        <v>25.92</v>
      </c>
      <c r="L393">
        <v>-276.64</v>
      </c>
      <c r="N393">
        <v>1</v>
      </c>
      <c r="O393">
        <v>6045</v>
      </c>
    </row>
    <row r="394" spans="1:15" x14ac:dyDescent="0.25">
      <c r="A394" s="2">
        <v>44713</v>
      </c>
      <c r="B394" t="s">
        <v>37</v>
      </c>
      <c r="C394">
        <v>891743</v>
      </c>
      <c r="D394" s="2">
        <v>44713.459027777782</v>
      </c>
      <c r="E394" t="s">
        <v>162</v>
      </c>
      <c r="F394" t="s">
        <v>184</v>
      </c>
      <c r="G394">
        <v>266258</v>
      </c>
      <c r="H394">
        <v>276.64</v>
      </c>
      <c r="I394">
        <v>0</v>
      </c>
      <c r="J394" t="s">
        <v>188</v>
      </c>
      <c r="K394">
        <v>276.64</v>
      </c>
      <c r="L394">
        <v>0</v>
      </c>
      <c r="N394">
        <v>1</v>
      </c>
      <c r="O394">
        <v>6045</v>
      </c>
    </row>
    <row r="395" spans="1:15" x14ac:dyDescent="0.25">
      <c r="A395" s="2">
        <v>44726</v>
      </c>
      <c r="B395" t="s">
        <v>37</v>
      </c>
      <c r="C395">
        <v>894176</v>
      </c>
      <c r="D395" s="2">
        <v>44726.443749999999</v>
      </c>
      <c r="E395" t="s">
        <v>166</v>
      </c>
      <c r="G395">
        <v>0</v>
      </c>
      <c r="H395">
        <v>0</v>
      </c>
      <c r="I395">
        <v>152.96</v>
      </c>
      <c r="J395" t="s">
        <v>186</v>
      </c>
      <c r="K395">
        <v>-152.96</v>
      </c>
      <c r="L395">
        <v>-152.96</v>
      </c>
      <c r="N395">
        <v>1</v>
      </c>
      <c r="O395">
        <v>6045</v>
      </c>
    </row>
    <row r="396" spans="1:15" x14ac:dyDescent="0.25">
      <c r="A396" s="2">
        <v>44726</v>
      </c>
      <c r="B396" t="s">
        <v>37</v>
      </c>
      <c r="C396">
        <v>894176</v>
      </c>
      <c r="D396" s="2">
        <v>44726.443749999999</v>
      </c>
      <c r="E396" t="s">
        <v>161</v>
      </c>
      <c r="F396" t="s">
        <v>183</v>
      </c>
      <c r="G396">
        <v>354835</v>
      </c>
      <c r="H396">
        <v>12.85</v>
      </c>
      <c r="I396">
        <v>0</v>
      </c>
      <c r="J396" t="s">
        <v>187</v>
      </c>
      <c r="K396">
        <v>12.85</v>
      </c>
      <c r="L396">
        <v>-140.11000000000001</v>
      </c>
      <c r="N396">
        <v>1</v>
      </c>
      <c r="O396">
        <v>6045</v>
      </c>
    </row>
    <row r="397" spans="1:15" x14ac:dyDescent="0.25">
      <c r="A397" s="2">
        <v>44726</v>
      </c>
      <c r="B397" t="s">
        <v>37</v>
      </c>
      <c r="C397">
        <v>894181</v>
      </c>
      <c r="D397" s="2">
        <v>44726.445138888892</v>
      </c>
      <c r="E397" t="s">
        <v>162</v>
      </c>
      <c r="F397" t="s">
        <v>184</v>
      </c>
      <c r="G397">
        <v>267436</v>
      </c>
      <c r="H397">
        <v>140.11000000000001</v>
      </c>
      <c r="I397">
        <v>0</v>
      </c>
      <c r="J397" t="s">
        <v>188</v>
      </c>
      <c r="K397">
        <v>140.11000000000001</v>
      </c>
      <c r="L397">
        <v>0</v>
      </c>
      <c r="N397">
        <v>1</v>
      </c>
      <c r="O397">
        <v>6045</v>
      </c>
    </row>
    <row r="398" spans="1:15" x14ac:dyDescent="0.25">
      <c r="A398" s="2">
        <v>44740</v>
      </c>
      <c r="B398" t="s">
        <v>37</v>
      </c>
      <c r="C398">
        <v>896912</v>
      </c>
      <c r="D398" s="2">
        <v>44740.022222222222</v>
      </c>
      <c r="E398" t="s">
        <v>164</v>
      </c>
      <c r="F398" t="s">
        <v>183</v>
      </c>
      <c r="G398">
        <v>356671</v>
      </c>
      <c r="H398">
        <v>6</v>
      </c>
      <c r="I398">
        <v>0</v>
      </c>
      <c r="J398" t="s">
        <v>185</v>
      </c>
      <c r="K398">
        <v>6</v>
      </c>
      <c r="L398">
        <v>6</v>
      </c>
      <c r="N398">
        <v>1</v>
      </c>
      <c r="O398">
        <v>6045</v>
      </c>
    </row>
    <row r="399" spans="1:15" x14ac:dyDescent="0.25">
      <c r="A399" s="2">
        <v>44740</v>
      </c>
      <c r="B399" t="s">
        <v>37</v>
      </c>
      <c r="C399">
        <v>897194</v>
      </c>
      <c r="D399" s="2">
        <v>44740.519444444442</v>
      </c>
      <c r="E399" t="s">
        <v>166</v>
      </c>
      <c r="G399">
        <v>0</v>
      </c>
      <c r="H399">
        <v>0</v>
      </c>
      <c r="I399">
        <v>347.04</v>
      </c>
      <c r="J399" t="s">
        <v>186</v>
      </c>
      <c r="K399">
        <v>-347.04</v>
      </c>
      <c r="L399">
        <v>-341.04</v>
      </c>
      <c r="N399">
        <v>1</v>
      </c>
      <c r="O399">
        <v>6045</v>
      </c>
    </row>
    <row r="400" spans="1:15" x14ac:dyDescent="0.25">
      <c r="A400" s="2">
        <v>44740</v>
      </c>
      <c r="B400" t="s">
        <v>37</v>
      </c>
      <c r="C400">
        <v>897194</v>
      </c>
      <c r="D400" s="2">
        <v>44740.519444444442</v>
      </c>
      <c r="E400" t="s">
        <v>161</v>
      </c>
      <c r="F400" t="s">
        <v>183</v>
      </c>
      <c r="G400">
        <v>357031</v>
      </c>
      <c r="H400">
        <v>29.15</v>
      </c>
      <c r="I400">
        <v>0</v>
      </c>
      <c r="J400" t="s">
        <v>187</v>
      </c>
      <c r="K400">
        <v>29.15</v>
      </c>
      <c r="L400">
        <v>-311.89</v>
      </c>
      <c r="N400">
        <v>1</v>
      </c>
      <c r="O400">
        <v>6045</v>
      </c>
    </row>
    <row r="401" spans="1:15" x14ac:dyDescent="0.25">
      <c r="A401" s="2">
        <v>44740</v>
      </c>
      <c r="B401" t="s">
        <v>37</v>
      </c>
      <c r="C401">
        <v>897206</v>
      </c>
      <c r="D401" s="2">
        <v>44740.520138888889</v>
      </c>
      <c r="E401" t="s">
        <v>162</v>
      </c>
      <c r="F401" t="s">
        <v>184</v>
      </c>
      <c r="G401">
        <v>268752</v>
      </c>
      <c r="H401">
        <v>311.89</v>
      </c>
      <c r="I401">
        <v>0</v>
      </c>
      <c r="J401" t="s">
        <v>188</v>
      </c>
      <c r="K401">
        <v>311.89</v>
      </c>
      <c r="L401">
        <v>0</v>
      </c>
      <c r="N401">
        <v>1</v>
      </c>
      <c r="O401">
        <v>6045</v>
      </c>
    </row>
    <row r="402" spans="1:15" x14ac:dyDescent="0.25">
      <c r="A402" s="2">
        <v>44756</v>
      </c>
      <c r="B402" t="s">
        <v>37</v>
      </c>
      <c r="C402">
        <v>900702</v>
      </c>
      <c r="D402" s="2">
        <v>44756.488194444442</v>
      </c>
      <c r="E402" t="s">
        <v>167</v>
      </c>
      <c r="G402">
        <v>0</v>
      </c>
      <c r="H402">
        <v>0</v>
      </c>
      <c r="I402">
        <v>114.48</v>
      </c>
      <c r="J402" t="s">
        <v>186</v>
      </c>
      <c r="K402">
        <v>-114.48</v>
      </c>
      <c r="L402">
        <v>-114.48</v>
      </c>
      <c r="N402">
        <v>1</v>
      </c>
      <c r="O402">
        <v>6045</v>
      </c>
    </row>
    <row r="403" spans="1:15" x14ac:dyDescent="0.25">
      <c r="A403" s="2">
        <v>44756</v>
      </c>
      <c r="B403" t="s">
        <v>37</v>
      </c>
      <c r="C403">
        <v>900702</v>
      </c>
      <c r="D403" s="2">
        <v>44756.488194444442</v>
      </c>
      <c r="E403" t="s">
        <v>161</v>
      </c>
      <c r="F403" t="s">
        <v>183</v>
      </c>
      <c r="G403">
        <v>358763</v>
      </c>
      <c r="H403">
        <v>9.61</v>
      </c>
      <c r="I403">
        <v>0</v>
      </c>
      <c r="J403" t="s">
        <v>187</v>
      </c>
      <c r="K403">
        <v>9.61</v>
      </c>
      <c r="L403">
        <v>-104.87</v>
      </c>
      <c r="N403">
        <v>1</v>
      </c>
      <c r="O403">
        <v>6045</v>
      </c>
    </row>
    <row r="404" spans="1:15" x14ac:dyDescent="0.25">
      <c r="A404" s="2">
        <v>44756</v>
      </c>
      <c r="B404" t="s">
        <v>37</v>
      </c>
      <c r="C404">
        <v>900726</v>
      </c>
      <c r="D404" s="2">
        <v>44756.496527777781</v>
      </c>
      <c r="E404" t="s">
        <v>162</v>
      </c>
      <c r="F404" t="s">
        <v>184</v>
      </c>
      <c r="G404">
        <v>270309</v>
      </c>
      <c r="H404">
        <v>104.87</v>
      </c>
      <c r="I404">
        <v>0</v>
      </c>
      <c r="J404" t="s">
        <v>188</v>
      </c>
      <c r="K404">
        <v>104.87</v>
      </c>
      <c r="L404">
        <v>0</v>
      </c>
      <c r="N404">
        <v>1</v>
      </c>
      <c r="O404">
        <v>6045</v>
      </c>
    </row>
    <row r="405" spans="1:15" x14ac:dyDescent="0.25">
      <c r="A405" s="2">
        <v>44768</v>
      </c>
      <c r="B405" t="s">
        <v>37</v>
      </c>
      <c r="C405">
        <v>903383</v>
      </c>
      <c r="D405" s="2">
        <v>44768.462500000001</v>
      </c>
      <c r="E405" t="s">
        <v>167</v>
      </c>
      <c r="G405">
        <v>0</v>
      </c>
      <c r="H405">
        <v>0</v>
      </c>
      <c r="I405">
        <v>385.52</v>
      </c>
      <c r="J405" t="s">
        <v>186</v>
      </c>
      <c r="K405">
        <v>-385.52</v>
      </c>
      <c r="L405">
        <v>-385.52</v>
      </c>
      <c r="N405">
        <v>1</v>
      </c>
      <c r="O405">
        <v>6045</v>
      </c>
    </row>
    <row r="406" spans="1:15" x14ac:dyDescent="0.25">
      <c r="A406" s="2">
        <v>44768</v>
      </c>
      <c r="B406" t="s">
        <v>37</v>
      </c>
      <c r="C406">
        <v>903383</v>
      </c>
      <c r="D406" s="2">
        <v>44768.462500000001</v>
      </c>
      <c r="E406" t="s">
        <v>161</v>
      </c>
      <c r="F406" t="s">
        <v>183</v>
      </c>
      <c r="G406">
        <v>359973</v>
      </c>
      <c r="H406">
        <v>32.39</v>
      </c>
      <c r="I406">
        <v>0</v>
      </c>
      <c r="J406" t="s">
        <v>187</v>
      </c>
      <c r="K406">
        <v>32.39</v>
      </c>
      <c r="L406">
        <v>-353.13</v>
      </c>
      <c r="N406">
        <v>1</v>
      </c>
      <c r="O406">
        <v>6045</v>
      </c>
    </row>
    <row r="407" spans="1:15" x14ac:dyDescent="0.25">
      <c r="A407" s="2">
        <v>44768</v>
      </c>
      <c r="B407" t="s">
        <v>37</v>
      </c>
      <c r="C407">
        <v>903398</v>
      </c>
      <c r="D407" s="2">
        <v>44768.463888888888</v>
      </c>
      <c r="E407" t="s">
        <v>162</v>
      </c>
      <c r="F407" t="s">
        <v>184</v>
      </c>
      <c r="G407">
        <v>271517</v>
      </c>
      <c r="H407">
        <v>353.13</v>
      </c>
      <c r="I407">
        <v>0</v>
      </c>
      <c r="J407" t="s">
        <v>188</v>
      </c>
      <c r="K407">
        <v>353.13</v>
      </c>
      <c r="L407">
        <v>0</v>
      </c>
      <c r="N407">
        <v>1</v>
      </c>
      <c r="O407">
        <v>6045</v>
      </c>
    </row>
    <row r="408" spans="1:15" x14ac:dyDescent="0.25">
      <c r="A408" s="2">
        <v>44770</v>
      </c>
      <c r="B408" t="s">
        <v>37</v>
      </c>
      <c r="C408">
        <v>903686</v>
      </c>
      <c r="D408" s="2">
        <v>44770.022222222222</v>
      </c>
      <c r="E408" t="s">
        <v>164</v>
      </c>
      <c r="F408" t="s">
        <v>183</v>
      </c>
      <c r="G408">
        <v>360715</v>
      </c>
      <c r="H408">
        <v>6</v>
      </c>
      <c r="I408">
        <v>0</v>
      </c>
      <c r="J408" t="s">
        <v>185</v>
      </c>
      <c r="K408">
        <v>6</v>
      </c>
      <c r="L408">
        <v>6</v>
      </c>
      <c r="N408">
        <v>0</v>
      </c>
      <c r="O408">
        <v>6045</v>
      </c>
    </row>
    <row r="409" spans="1:15" x14ac:dyDescent="0.25">
      <c r="A409" s="2">
        <v>44740</v>
      </c>
      <c r="B409" t="s">
        <v>38</v>
      </c>
      <c r="C409">
        <v>896912</v>
      </c>
      <c r="D409" s="2">
        <v>44740.022222222222</v>
      </c>
      <c r="E409" t="s">
        <v>168</v>
      </c>
      <c r="F409" t="s">
        <v>183</v>
      </c>
      <c r="G409">
        <v>356710</v>
      </c>
      <c r="H409">
        <v>6</v>
      </c>
      <c r="I409">
        <v>0</v>
      </c>
      <c r="J409" t="s">
        <v>185</v>
      </c>
      <c r="K409">
        <v>6</v>
      </c>
      <c r="L409">
        <v>6</v>
      </c>
      <c r="N409">
        <v>0</v>
      </c>
    </row>
    <row r="410" spans="1:15" x14ac:dyDescent="0.25">
      <c r="A410" s="2">
        <v>44679</v>
      </c>
      <c r="B410" t="s">
        <v>39</v>
      </c>
      <c r="C410">
        <v>884442</v>
      </c>
      <c r="D410" s="2">
        <v>44679.022222222222</v>
      </c>
      <c r="E410" t="s">
        <v>169</v>
      </c>
      <c r="F410" t="s">
        <v>183</v>
      </c>
      <c r="G410">
        <v>349010</v>
      </c>
      <c r="H410">
        <v>6</v>
      </c>
      <c r="I410">
        <v>0</v>
      </c>
      <c r="J410" t="s">
        <v>185</v>
      </c>
      <c r="K410">
        <v>6</v>
      </c>
      <c r="L410">
        <v>6</v>
      </c>
      <c r="N410">
        <v>1</v>
      </c>
      <c r="O410">
        <v>3072</v>
      </c>
    </row>
    <row r="411" spans="1:15" x14ac:dyDescent="0.25">
      <c r="A411" s="2">
        <v>44685</v>
      </c>
      <c r="B411" t="s">
        <v>39</v>
      </c>
      <c r="C411">
        <v>885988</v>
      </c>
      <c r="D411" s="2">
        <v>44685.609027777777</v>
      </c>
      <c r="E411" t="s">
        <v>170</v>
      </c>
      <c r="G411">
        <v>0</v>
      </c>
      <c r="H411">
        <v>0</v>
      </c>
      <c r="I411">
        <v>500</v>
      </c>
      <c r="J411" t="s">
        <v>186</v>
      </c>
      <c r="K411">
        <v>-500</v>
      </c>
      <c r="L411">
        <v>-494</v>
      </c>
      <c r="N411">
        <v>1</v>
      </c>
      <c r="O411">
        <v>3072</v>
      </c>
    </row>
    <row r="412" spans="1:15" x14ac:dyDescent="0.25">
      <c r="A412" s="2">
        <v>44685</v>
      </c>
      <c r="B412" t="s">
        <v>39</v>
      </c>
      <c r="C412">
        <v>885988</v>
      </c>
      <c r="D412" s="2">
        <v>44685.609027777777</v>
      </c>
      <c r="E412" t="s">
        <v>171</v>
      </c>
      <c r="F412" t="s">
        <v>183</v>
      </c>
      <c r="G412">
        <v>349930</v>
      </c>
      <c r="H412">
        <v>42</v>
      </c>
      <c r="I412">
        <v>0</v>
      </c>
      <c r="J412" t="s">
        <v>187</v>
      </c>
      <c r="K412">
        <v>42</v>
      </c>
      <c r="L412">
        <v>-452</v>
      </c>
      <c r="N412">
        <v>1</v>
      </c>
      <c r="O412">
        <v>3072</v>
      </c>
    </row>
    <row r="413" spans="1:15" x14ac:dyDescent="0.25">
      <c r="A413" s="2">
        <v>44685</v>
      </c>
      <c r="B413" t="s">
        <v>39</v>
      </c>
      <c r="C413">
        <v>886021</v>
      </c>
      <c r="D413" s="2">
        <v>44685.611111111109</v>
      </c>
      <c r="E413" t="s">
        <v>172</v>
      </c>
      <c r="F413" t="s">
        <v>184</v>
      </c>
      <c r="G413">
        <v>263750</v>
      </c>
      <c r="H413">
        <v>452</v>
      </c>
      <c r="I413">
        <v>0</v>
      </c>
      <c r="J413" t="s">
        <v>188</v>
      </c>
      <c r="K413">
        <v>452</v>
      </c>
      <c r="L413">
        <v>0</v>
      </c>
      <c r="N413">
        <v>1</v>
      </c>
      <c r="O413">
        <v>3072</v>
      </c>
    </row>
    <row r="414" spans="1:15" x14ac:dyDescent="0.25">
      <c r="A414" s="2">
        <v>44709</v>
      </c>
      <c r="B414" t="s">
        <v>39</v>
      </c>
      <c r="C414">
        <v>890834</v>
      </c>
      <c r="D414" s="2">
        <v>44709.022222222222</v>
      </c>
      <c r="E414" t="s">
        <v>169</v>
      </c>
      <c r="F414" t="s">
        <v>183</v>
      </c>
      <c r="G414">
        <v>353037</v>
      </c>
      <c r="H414">
        <v>6</v>
      </c>
      <c r="I414">
        <v>0</v>
      </c>
      <c r="J414" t="s">
        <v>185</v>
      </c>
      <c r="K414">
        <v>6</v>
      </c>
      <c r="L414">
        <v>6</v>
      </c>
      <c r="N414">
        <v>1</v>
      </c>
      <c r="O414">
        <v>3072</v>
      </c>
    </row>
    <row r="415" spans="1:15" x14ac:dyDescent="0.25">
      <c r="A415" s="2">
        <v>44718</v>
      </c>
      <c r="B415" t="s">
        <v>39</v>
      </c>
      <c r="C415">
        <v>892301</v>
      </c>
      <c r="D415" s="2">
        <v>44718.53125</v>
      </c>
      <c r="E415" t="s">
        <v>173</v>
      </c>
      <c r="G415">
        <v>0</v>
      </c>
      <c r="H415">
        <v>0</v>
      </c>
      <c r="I415">
        <v>500</v>
      </c>
      <c r="J415" t="s">
        <v>186</v>
      </c>
      <c r="K415">
        <v>-500</v>
      </c>
      <c r="L415">
        <v>-494</v>
      </c>
      <c r="N415">
        <v>1</v>
      </c>
      <c r="O415">
        <v>3072</v>
      </c>
    </row>
    <row r="416" spans="1:15" x14ac:dyDescent="0.25">
      <c r="A416" s="2">
        <v>44718</v>
      </c>
      <c r="B416" t="s">
        <v>39</v>
      </c>
      <c r="C416">
        <v>892301</v>
      </c>
      <c r="D416" s="2">
        <v>44718.53125</v>
      </c>
      <c r="E416" t="s">
        <v>171</v>
      </c>
      <c r="F416" t="s">
        <v>183</v>
      </c>
      <c r="G416">
        <v>353931</v>
      </c>
      <c r="H416">
        <v>42</v>
      </c>
      <c r="I416">
        <v>0</v>
      </c>
      <c r="J416" t="s">
        <v>187</v>
      </c>
      <c r="K416">
        <v>42</v>
      </c>
      <c r="L416">
        <v>-452</v>
      </c>
      <c r="N416">
        <v>1</v>
      </c>
      <c r="O416">
        <v>3072</v>
      </c>
    </row>
    <row r="417" spans="1:15" x14ac:dyDescent="0.25">
      <c r="A417" s="2">
        <v>44718</v>
      </c>
      <c r="B417" t="s">
        <v>39</v>
      </c>
      <c r="C417">
        <v>892319</v>
      </c>
      <c r="D417" s="2">
        <v>44718.533333333333</v>
      </c>
      <c r="E417" t="s">
        <v>172</v>
      </c>
      <c r="F417" t="s">
        <v>184</v>
      </c>
      <c r="G417">
        <v>266538</v>
      </c>
      <c r="H417">
        <v>452</v>
      </c>
      <c r="I417">
        <v>0</v>
      </c>
      <c r="J417" t="s">
        <v>188</v>
      </c>
      <c r="K417">
        <v>452</v>
      </c>
      <c r="L417">
        <v>0</v>
      </c>
      <c r="N417">
        <v>1</v>
      </c>
      <c r="O417">
        <v>3072</v>
      </c>
    </row>
    <row r="418" spans="1:15" x14ac:dyDescent="0.25">
      <c r="A418" s="2">
        <v>44740</v>
      </c>
      <c r="B418" t="s">
        <v>39</v>
      </c>
      <c r="C418">
        <v>896912</v>
      </c>
      <c r="D418" s="2">
        <v>44740.022222222222</v>
      </c>
      <c r="E418" t="s">
        <v>169</v>
      </c>
      <c r="F418" t="s">
        <v>183</v>
      </c>
      <c r="G418">
        <v>356817</v>
      </c>
      <c r="H418">
        <v>6</v>
      </c>
      <c r="I418">
        <v>0</v>
      </c>
      <c r="J418" t="s">
        <v>185</v>
      </c>
      <c r="K418">
        <v>6</v>
      </c>
      <c r="L418">
        <v>6</v>
      </c>
      <c r="N418">
        <v>1</v>
      </c>
      <c r="O418">
        <v>3072</v>
      </c>
    </row>
    <row r="419" spans="1:15" x14ac:dyDescent="0.25">
      <c r="A419" s="2">
        <v>44747</v>
      </c>
      <c r="B419" t="s">
        <v>39</v>
      </c>
      <c r="C419">
        <v>898814</v>
      </c>
      <c r="D419" s="2">
        <v>44747.659722222219</v>
      </c>
      <c r="E419" t="s">
        <v>174</v>
      </c>
      <c r="G419">
        <v>0</v>
      </c>
      <c r="H419">
        <v>0</v>
      </c>
      <c r="I419">
        <v>500</v>
      </c>
      <c r="J419" t="s">
        <v>186</v>
      </c>
      <c r="K419">
        <v>-500</v>
      </c>
      <c r="L419">
        <v>-494</v>
      </c>
      <c r="N419">
        <v>1</v>
      </c>
      <c r="O419">
        <v>3072</v>
      </c>
    </row>
    <row r="420" spans="1:15" x14ac:dyDescent="0.25">
      <c r="A420" s="2">
        <v>44747</v>
      </c>
      <c r="B420" t="s">
        <v>39</v>
      </c>
      <c r="C420">
        <v>898814</v>
      </c>
      <c r="D420" s="2">
        <v>44747.659722222219</v>
      </c>
      <c r="E420" t="s">
        <v>171</v>
      </c>
      <c r="F420" t="s">
        <v>183</v>
      </c>
      <c r="G420">
        <v>357889</v>
      </c>
      <c r="H420">
        <v>42</v>
      </c>
      <c r="I420">
        <v>0</v>
      </c>
      <c r="J420" t="s">
        <v>187</v>
      </c>
      <c r="K420">
        <v>42</v>
      </c>
      <c r="L420">
        <v>-452</v>
      </c>
      <c r="N420">
        <v>1</v>
      </c>
      <c r="O420">
        <v>3072</v>
      </c>
    </row>
    <row r="421" spans="1:15" x14ac:dyDescent="0.25">
      <c r="A421" s="2">
        <v>44747</v>
      </c>
      <c r="B421" t="s">
        <v>39</v>
      </c>
      <c r="C421">
        <v>898836</v>
      </c>
      <c r="D421" s="2">
        <v>44747.663888888892</v>
      </c>
      <c r="E421" t="s">
        <v>172</v>
      </c>
      <c r="F421" t="s">
        <v>184</v>
      </c>
      <c r="G421">
        <v>269452</v>
      </c>
      <c r="H421">
        <v>452</v>
      </c>
      <c r="I421">
        <v>0</v>
      </c>
      <c r="J421" t="s">
        <v>188</v>
      </c>
      <c r="K421">
        <v>452</v>
      </c>
      <c r="L421">
        <v>0</v>
      </c>
      <c r="N421">
        <v>1</v>
      </c>
      <c r="O421">
        <v>3072</v>
      </c>
    </row>
    <row r="422" spans="1:15" x14ac:dyDescent="0.25">
      <c r="A422" s="2">
        <v>44770</v>
      </c>
      <c r="B422" t="s">
        <v>39</v>
      </c>
      <c r="C422">
        <v>903686</v>
      </c>
      <c r="D422" s="2">
        <v>44770.022222222222</v>
      </c>
      <c r="E422" t="s">
        <v>169</v>
      </c>
      <c r="F422" t="s">
        <v>183</v>
      </c>
      <c r="G422">
        <v>360856</v>
      </c>
      <c r="H422">
        <v>6</v>
      </c>
      <c r="I422">
        <v>0</v>
      </c>
      <c r="J422" t="s">
        <v>185</v>
      </c>
      <c r="K422">
        <v>6</v>
      </c>
      <c r="L422">
        <v>6</v>
      </c>
      <c r="N422">
        <v>0</v>
      </c>
      <c r="O422">
        <v>3072</v>
      </c>
    </row>
    <row r="423" spans="1:15" x14ac:dyDescent="0.25">
      <c r="A423" s="2">
        <v>44740</v>
      </c>
      <c r="B423" t="s">
        <v>40</v>
      </c>
      <c r="C423">
        <v>896912</v>
      </c>
      <c r="D423" s="2">
        <v>44740.022222222222</v>
      </c>
      <c r="E423" t="s">
        <v>175</v>
      </c>
      <c r="F423" t="s">
        <v>183</v>
      </c>
      <c r="G423">
        <v>356818</v>
      </c>
      <c r="H423">
        <v>6</v>
      </c>
      <c r="I423">
        <v>0</v>
      </c>
      <c r="J423" t="s">
        <v>185</v>
      </c>
      <c r="K423">
        <v>6</v>
      </c>
      <c r="L423">
        <v>6</v>
      </c>
      <c r="N423">
        <v>0</v>
      </c>
    </row>
    <row r="424" spans="1:15" x14ac:dyDescent="0.25">
      <c r="A424" s="2">
        <v>44663</v>
      </c>
      <c r="B424" t="s">
        <v>41</v>
      </c>
      <c r="C424">
        <v>880979</v>
      </c>
      <c r="D424" s="2">
        <v>44663.506249999999</v>
      </c>
      <c r="E424" t="s">
        <v>176</v>
      </c>
      <c r="G424">
        <v>0</v>
      </c>
      <c r="H424">
        <v>0</v>
      </c>
      <c r="I424">
        <v>350</v>
      </c>
      <c r="J424" t="s">
        <v>186</v>
      </c>
      <c r="K424">
        <v>-350</v>
      </c>
      <c r="L424">
        <v>-350</v>
      </c>
      <c r="N424">
        <v>1</v>
      </c>
      <c r="O424">
        <v>6045</v>
      </c>
    </row>
    <row r="425" spans="1:15" x14ac:dyDescent="0.25">
      <c r="A425" s="2">
        <v>44663</v>
      </c>
      <c r="B425" t="s">
        <v>41</v>
      </c>
      <c r="C425">
        <v>880979</v>
      </c>
      <c r="D425" s="2">
        <v>44663.506249999999</v>
      </c>
      <c r="E425" t="s">
        <v>177</v>
      </c>
      <c r="F425" t="s">
        <v>183</v>
      </c>
      <c r="G425">
        <v>346779</v>
      </c>
      <c r="H425">
        <v>29.4</v>
      </c>
      <c r="I425">
        <v>0</v>
      </c>
      <c r="J425" t="s">
        <v>187</v>
      </c>
      <c r="K425">
        <v>29.4</v>
      </c>
      <c r="L425">
        <v>-320.60000000000002</v>
      </c>
      <c r="N425">
        <v>1</v>
      </c>
      <c r="O425">
        <v>6045</v>
      </c>
    </row>
    <row r="426" spans="1:15" x14ac:dyDescent="0.25">
      <c r="A426" s="2">
        <v>44663</v>
      </c>
      <c r="B426" t="s">
        <v>41</v>
      </c>
      <c r="C426">
        <v>880985</v>
      </c>
      <c r="D426" s="2">
        <v>44663.509027777778</v>
      </c>
      <c r="E426" t="s">
        <v>178</v>
      </c>
      <c r="F426" t="s">
        <v>184</v>
      </c>
      <c r="G426">
        <v>261684</v>
      </c>
      <c r="H426">
        <v>314.60000000000002</v>
      </c>
      <c r="I426">
        <v>0</v>
      </c>
      <c r="J426" t="s">
        <v>188</v>
      </c>
      <c r="K426">
        <v>314.60000000000002</v>
      </c>
      <c r="L426">
        <v>-6</v>
      </c>
      <c r="N426">
        <v>1</v>
      </c>
      <c r="O426">
        <v>6045</v>
      </c>
    </row>
    <row r="427" spans="1:15" x14ac:dyDescent="0.25">
      <c r="A427" s="2">
        <v>44679</v>
      </c>
      <c r="B427" t="s">
        <v>41</v>
      </c>
      <c r="C427">
        <v>884442</v>
      </c>
      <c r="D427" s="2">
        <v>44679.022222222222</v>
      </c>
      <c r="E427" t="s">
        <v>179</v>
      </c>
      <c r="F427" t="s">
        <v>183</v>
      </c>
      <c r="G427">
        <v>348918</v>
      </c>
      <c r="H427">
        <v>6</v>
      </c>
      <c r="I427">
        <v>0</v>
      </c>
      <c r="J427" t="s">
        <v>185</v>
      </c>
      <c r="K427">
        <v>6</v>
      </c>
      <c r="L427">
        <v>6</v>
      </c>
      <c r="N427">
        <v>1</v>
      </c>
      <c r="O427">
        <v>6045</v>
      </c>
    </row>
    <row r="428" spans="1:15" x14ac:dyDescent="0.25">
      <c r="A428" s="2">
        <v>44693</v>
      </c>
      <c r="B428" t="s">
        <v>41</v>
      </c>
      <c r="C428">
        <v>887645</v>
      </c>
      <c r="D428" s="2">
        <v>44693.447222222218</v>
      </c>
      <c r="E428" t="s">
        <v>180</v>
      </c>
      <c r="G428">
        <v>0</v>
      </c>
      <c r="H428">
        <v>0</v>
      </c>
      <c r="I428">
        <v>350</v>
      </c>
      <c r="J428" t="s">
        <v>186</v>
      </c>
      <c r="K428">
        <v>-350</v>
      </c>
      <c r="L428">
        <v>-344</v>
      </c>
      <c r="N428">
        <v>1</v>
      </c>
      <c r="O428">
        <v>6045</v>
      </c>
    </row>
    <row r="429" spans="1:15" x14ac:dyDescent="0.25">
      <c r="A429" s="2">
        <v>44693</v>
      </c>
      <c r="B429" t="s">
        <v>41</v>
      </c>
      <c r="C429">
        <v>887645</v>
      </c>
      <c r="D429" s="2">
        <v>44693.447222222218</v>
      </c>
      <c r="E429" t="s">
        <v>177</v>
      </c>
      <c r="F429" t="s">
        <v>183</v>
      </c>
      <c r="G429">
        <v>350812</v>
      </c>
      <c r="H429">
        <v>29.4</v>
      </c>
      <c r="I429">
        <v>0</v>
      </c>
      <c r="J429" t="s">
        <v>187</v>
      </c>
      <c r="K429">
        <v>29.4</v>
      </c>
      <c r="L429">
        <v>-314.60000000000002</v>
      </c>
      <c r="N429">
        <v>1</v>
      </c>
      <c r="O429">
        <v>6045</v>
      </c>
    </row>
    <row r="430" spans="1:15" x14ac:dyDescent="0.25">
      <c r="A430" s="2">
        <v>44693</v>
      </c>
      <c r="B430" t="s">
        <v>41</v>
      </c>
      <c r="C430">
        <v>887652</v>
      </c>
      <c r="D430" s="2">
        <v>44693.454861111109</v>
      </c>
      <c r="E430" t="s">
        <v>178</v>
      </c>
      <c r="F430" t="s">
        <v>184</v>
      </c>
      <c r="G430">
        <v>264423</v>
      </c>
      <c r="H430">
        <v>314.60000000000002</v>
      </c>
      <c r="I430">
        <v>0</v>
      </c>
      <c r="J430" t="s">
        <v>188</v>
      </c>
      <c r="K430">
        <v>314.60000000000002</v>
      </c>
      <c r="L430">
        <v>0</v>
      </c>
      <c r="N430">
        <v>1</v>
      </c>
      <c r="O430">
        <v>6045</v>
      </c>
    </row>
    <row r="431" spans="1:15" x14ac:dyDescent="0.25">
      <c r="A431" s="2">
        <v>44709</v>
      </c>
      <c r="B431" t="s">
        <v>41</v>
      </c>
      <c r="C431">
        <v>890834</v>
      </c>
      <c r="D431" s="2">
        <v>44709.022222222222</v>
      </c>
      <c r="E431" t="s">
        <v>179</v>
      </c>
      <c r="F431" t="s">
        <v>183</v>
      </c>
      <c r="G431">
        <v>352948</v>
      </c>
      <c r="H431">
        <v>6</v>
      </c>
      <c r="I431">
        <v>0</v>
      </c>
      <c r="J431" t="s">
        <v>185</v>
      </c>
      <c r="K431">
        <v>6</v>
      </c>
      <c r="L431">
        <v>6</v>
      </c>
      <c r="N431">
        <v>1</v>
      </c>
      <c r="O431">
        <v>6045</v>
      </c>
    </row>
    <row r="432" spans="1:15" x14ac:dyDescent="0.25">
      <c r="A432" s="2">
        <v>44726</v>
      </c>
      <c r="B432" t="s">
        <v>41</v>
      </c>
      <c r="C432">
        <v>894178</v>
      </c>
      <c r="D432" s="2">
        <v>44726.443749999999</v>
      </c>
      <c r="E432" t="s">
        <v>181</v>
      </c>
      <c r="G432">
        <v>0</v>
      </c>
      <c r="H432">
        <v>0</v>
      </c>
      <c r="I432">
        <v>350</v>
      </c>
      <c r="J432" t="s">
        <v>186</v>
      </c>
      <c r="K432">
        <v>-350</v>
      </c>
      <c r="L432">
        <v>-344</v>
      </c>
      <c r="N432">
        <v>1</v>
      </c>
      <c r="O432">
        <v>6045</v>
      </c>
    </row>
    <row r="433" spans="1:15" x14ac:dyDescent="0.25">
      <c r="A433" s="2">
        <v>44726</v>
      </c>
      <c r="B433" t="s">
        <v>41</v>
      </c>
      <c r="C433">
        <v>894178</v>
      </c>
      <c r="D433" s="2">
        <v>44726.443749999999</v>
      </c>
      <c r="E433" t="s">
        <v>177</v>
      </c>
      <c r="F433" t="s">
        <v>183</v>
      </c>
      <c r="G433">
        <v>354837</v>
      </c>
      <c r="H433">
        <v>29.4</v>
      </c>
      <c r="I433">
        <v>0</v>
      </c>
      <c r="J433" t="s">
        <v>187</v>
      </c>
      <c r="K433">
        <v>29.4</v>
      </c>
      <c r="L433">
        <v>-314.60000000000002</v>
      </c>
      <c r="N433">
        <v>1</v>
      </c>
      <c r="O433">
        <v>6045</v>
      </c>
    </row>
    <row r="434" spans="1:15" x14ac:dyDescent="0.25">
      <c r="A434" s="2">
        <v>44726</v>
      </c>
      <c r="B434" t="s">
        <v>41</v>
      </c>
      <c r="C434">
        <v>894181</v>
      </c>
      <c r="D434" s="2">
        <v>44726.445138888892</v>
      </c>
      <c r="E434" t="s">
        <v>178</v>
      </c>
      <c r="F434" t="s">
        <v>184</v>
      </c>
      <c r="G434">
        <v>267438</v>
      </c>
      <c r="H434">
        <v>314.60000000000002</v>
      </c>
      <c r="I434">
        <v>0</v>
      </c>
      <c r="J434" t="s">
        <v>188</v>
      </c>
      <c r="K434">
        <v>314.60000000000002</v>
      </c>
      <c r="L434">
        <v>0</v>
      </c>
      <c r="N434">
        <v>1</v>
      </c>
      <c r="O434">
        <v>6045</v>
      </c>
    </row>
    <row r="435" spans="1:15" x14ac:dyDescent="0.25">
      <c r="A435" s="2">
        <v>44740</v>
      </c>
      <c r="B435" t="s">
        <v>41</v>
      </c>
      <c r="C435">
        <v>896912</v>
      </c>
      <c r="D435" s="2">
        <v>44740.022222222222</v>
      </c>
      <c r="E435" t="s">
        <v>179</v>
      </c>
      <c r="F435" t="s">
        <v>183</v>
      </c>
      <c r="G435">
        <v>356734</v>
      </c>
      <c r="H435">
        <v>6</v>
      </c>
      <c r="I435">
        <v>0</v>
      </c>
      <c r="J435" t="s">
        <v>185</v>
      </c>
      <c r="K435">
        <v>6</v>
      </c>
      <c r="L435">
        <v>6</v>
      </c>
      <c r="N435">
        <v>1</v>
      </c>
      <c r="O435">
        <v>6045</v>
      </c>
    </row>
    <row r="436" spans="1:15" x14ac:dyDescent="0.25">
      <c r="A436" s="2">
        <v>44754</v>
      </c>
      <c r="B436" t="s">
        <v>41</v>
      </c>
      <c r="C436">
        <v>900104</v>
      </c>
      <c r="D436" s="2">
        <v>44754.463194444441</v>
      </c>
      <c r="E436" t="s">
        <v>182</v>
      </c>
      <c r="G436">
        <v>0</v>
      </c>
      <c r="H436">
        <v>0</v>
      </c>
      <c r="I436">
        <v>350</v>
      </c>
      <c r="J436" t="s">
        <v>186</v>
      </c>
      <c r="K436">
        <v>-350</v>
      </c>
      <c r="L436">
        <v>-344</v>
      </c>
      <c r="N436">
        <v>1</v>
      </c>
      <c r="O436">
        <v>6045</v>
      </c>
    </row>
    <row r="437" spans="1:15" x14ac:dyDescent="0.25">
      <c r="A437" s="2">
        <v>44754</v>
      </c>
      <c r="B437" t="s">
        <v>41</v>
      </c>
      <c r="C437">
        <v>900104</v>
      </c>
      <c r="D437" s="2">
        <v>44754.463194444441</v>
      </c>
      <c r="E437" t="s">
        <v>177</v>
      </c>
      <c r="F437" t="s">
        <v>183</v>
      </c>
      <c r="G437">
        <v>358586</v>
      </c>
      <c r="H437">
        <v>29.4</v>
      </c>
      <c r="I437">
        <v>0</v>
      </c>
      <c r="J437" t="s">
        <v>187</v>
      </c>
      <c r="K437">
        <v>29.4</v>
      </c>
      <c r="L437">
        <v>-314.60000000000002</v>
      </c>
      <c r="N437">
        <v>1</v>
      </c>
      <c r="O437">
        <v>6045</v>
      </c>
    </row>
    <row r="438" spans="1:15" x14ac:dyDescent="0.25">
      <c r="A438" s="2">
        <v>44754</v>
      </c>
      <c r="B438" t="s">
        <v>41</v>
      </c>
      <c r="C438">
        <v>900107</v>
      </c>
      <c r="D438" s="2">
        <v>44754.465277777781</v>
      </c>
      <c r="E438" t="s">
        <v>178</v>
      </c>
      <c r="F438" t="s">
        <v>184</v>
      </c>
      <c r="G438">
        <v>269985</v>
      </c>
      <c r="H438">
        <v>314.60000000000002</v>
      </c>
      <c r="I438">
        <v>0</v>
      </c>
      <c r="J438" t="s">
        <v>188</v>
      </c>
      <c r="K438">
        <v>314.60000000000002</v>
      </c>
      <c r="L438">
        <v>0</v>
      </c>
      <c r="N438">
        <v>1</v>
      </c>
      <c r="O438">
        <v>6045</v>
      </c>
    </row>
    <row r="439" spans="1:15" x14ac:dyDescent="0.25">
      <c r="A439" s="2">
        <v>44770</v>
      </c>
      <c r="B439" t="s">
        <v>41</v>
      </c>
      <c r="C439">
        <v>903686</v>
      </c>
      <c r="D439" s="2">
        <v>44770.022222222222</v>
      </c>
      <c r="E439" t="s">
        <v>179</v>
      </c>
      <c r="F439" t="s">
        <v>183</v>
      </c>
      <c r="G439">
        <v>360777</v>
      </c>
      <c r="H439">
        <v>6</v>
      </c>
      <c r="I439">
        <v>0</v>
      </c>
      <c r="J439" t="s">
        <v>185</v>
      </c>
      <c r="K439">
        <v>6</v>
      </c>
      <c r="L439">
        <v>6</v>
      </c>
      <c r="N439">
        <v>0</v>
      </c>
      <c r="O439">
        <v>6045</v>
      </c>
    </row>
  </sheetData>
  <autoFilter ref="A1:O439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2022-09-18T14:53:11Z</dcterms:created>
  <dcterms:modified xsi:type="dcterms:W3CDTF">2022-09-18T15:08:19Z</dcterms:modified>
</cp:coreProperties>
</file>