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A00F3D39-DE3D-475A-9D6D-95C4C4A2B332}" xr6:coauthVersionLast="47" xr6:coauthVersionMax="47" xr10:uidLastSave="{00000000-0000-0000-0000-000000000000}"/>
  <bookViews>
    <workbookView xWindow="-120" yWindow="-120" windowWidth="29040" windowHeight="15840" xr2:uid="{5D272B49-4EB9-45F3-9794-63014CD7A4F9}"/>
  </bookViews>
  <sheets>
    <sheet name="JUL2025_codedAndCategorised" sheetId="1" r:id="rId1"/>
  </sheets>
  <definedNames>
    <definedName name="_xlnm._FilterDatabase" localSheetId="0" hidden="1">JUL2025_codedAndCategorised!$A$1:$I$357</definedName>
  </definedNames>
  <calcPr calcId="181029"/>
</workbook>
</file>

<file path=xl/calcChain.xml><?xml version="1.0" encoding="utf-8"?>
<calcChain xmlns="http://schemas.openxmlformats.org/spreadsheetml/2006/main">
  <c r="C95" i="1" l="1"/>
  <c r="C96" i="1"/>
  <c r="C72" i="1"/>
  <c r="C71" i="1"/>
  <c r="C271" i="1"/>
  <c r="C270" i="1"/>
  <c r="C312" i="1"/>
  <c r="C311" i="1"/>
</calcChain>
</file>

<file path=xl/sharedStrings.xml><?xml version="1.0" encoding="utf-8"?>
<sst xmlns="http://schemas.openxmlformats.org/spreadsheetml/2006/main" count="1745" uniqueCount="405">
  <si>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</si>
  <si>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</si>
  <si>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</si>
  <si>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</si>
  <si>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</si>
  <si>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</si>
  <si>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</si>
  <si>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</si>
  <si>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</si>
  <si>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</si>
  <si>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</si>
  <si>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THE HARPUR TRUST D    BVAL000 DDR</t>
  </si>
  <si>
    <t>SchoolFee</t>
  </si>
  <si>
    <t>60-83-71 00558156</t>
  </si>
  <si>
    <t>REVENUE</t>
  </si>
  <si>
    <t xml:space="preserve">Nicole  Byrne FL7 ALHAMBRA RD </t>
  </si>
  <si>
    <t>F71618ALH</t>
  </si>
  <si>
    <t>OurRent</t>
  </si>
  <si>
    <t xml:space="preserve">R Cowie FLAT 14. PO4 0RF </t>
  </si>
  <si>
    <t>F141214ALH</t>
  </si>
  <si>
    <t xml:space="preserve">Mr A J  FITZGERALD FLAT 23 4-6 ALHAMB </t>
  </si>
  <si>
    <t>F2346ALH</t>
  </si>
  <si>
    <t xml:space="preserve">DAVIES P+J FLAT3 321 PO2 9HQ </t>
  </si>
  <si>
    <t>F3321LON</t>
  </si>
  <si>
    <t>REPAIRS_AND_MAINTENANCE</t>
  </si>
  <si>
    <t xml:space="preserve">Alhambra Road M Tucker SC </t>
  </si>
  <si>
    <t>ServiceCharge</t>
  </si>
  <si>
    <t xml:space="preserve">Lordswood Estates M Tucker SC </t>
  </si>
  <si>
    <t xml:space="preserve">ALHHAMBRA ROAD M Tucker SC </t>
  </si>
  <si>
    <t>20-53-97 30728691</t>
  </si>
  <si>
    <t>JASPER MORTGAGES      JAC00002/390255001FIR</t>
  </si>
  <si>
    <t>Mortgage</t>
  </si>
  <si>
    <t>JASPER MORTGAGES      JAC00002/390255110FIR</t>
  </si>
  <si>
    <t>PLATFORM FUNDING      01050228964703 DDR</t>
  </si>
  <si>
    <t>HESSONITE MORTGAGE    TND00001/631516204 DD</t>
  </si>
  <si>
    <t>23CHAM</t>
  </si>
  <si>
    <t>PLATFORM FUNDING      01050229961090 DDR</t>
  </si>
  <si>
    <t>F2246ALH</t>
  </si>
  <si>
    <t>PLATFORM FUNDING      01050230313307 DDR</t>
  </si>
  <si>
    <t>F61618ALH</t>
  </si>
  <si>
    <t>TOPAZ FIN JASPER      PRU00010/190859005 DD</t>
  </si>
  <si>
    <t>F31618ALH</t>
  </si>
  <si>
    <t>PLATFORM FUNDING      01050229961082 DDR</t>
  </si>
  <si>
    <t>F2046ALH</t>
  </si>
  <si>
    <t>TOPAZ RE SIBERITE     SIB00001/480016104 DD</t>
  </si>
  <si>
    <t>F2146ALH</t>
  </si>
  <si>
    <t>20-74-09 40406538</t>
  </si>
  <si>
    <t>Counter Credit</t>
  </si>
  <si>
    <t>M Tucker              M TUCKER BGC</t>
  </si>
  <si>
    <t xml:space="preserve">NATSO P BILL </t>
  </si>
  <si>
    <t>F4163FRA</t>
  </si>
  <si>
    <t xml:space="preserve">Matt GRANIL Flat 2 PO4 ODH </t>
  </si>
  <si>
    <t>F2169FAW</t>
  </si>
  <si>
    <t>EQUIPMENT</t>
  </si>
  <si>
    <t xml:space="preserve">Argos ARGOS FAIRFIELD PARK </t>
  </si>
  <si>
    <t>OtherExpense</t>
  </si>
  <si>
    <t>EE LIMITED            Q13077400633070063 DD</t>
  </si>
  <si>
    <t>RegularPayment</t>
  </si>
  <si>
    <t>Standing Order</t>
  </si>
  <si>
    <t>NATIONWIDE            0604/229172770 STO</t>
  </si>
  <si>
    <t>Card Purchase</t>
  </si>
  <si>
    <t>AMZNMktplace*L193Y    ON 30 JUN BCC</t>
  </si>
  <si>
    <t>PersonalExpense</t>
  </si>
  <si>
    <t>Amazon</t>
  </si>
  <si>
    <t>Prime Video*I21IB6    ON 30 JUN BCC</t>
  </si>
  <si>
    <t>Other</t>
  </si>
  <si>
    <t>WWW.AMAZON.* ST4S8    ON 30 JUN BCC</t>
  </si>
  <si>
    <t>Prime Video Rent /    ON 30 JUN BCC</t>
  </si>
  <si>
    <t>INTEREST_PAYMENTS</t>
  </si>
  <si>
    <t xml:space="preserve">Ivana Valentino mortgages  </t>
  </si>
  <si>
    <t>MortgageRefund</t>
  </si>
  <si>
    <t>Rsa Capital Limite    mortgages BGC</t>
  </si>
  <si>
    <t>VEHICLES</t>
  </si>
  <si>
    <t xml:space="preserve">BP BP NEWHAM AVENUE CONVE </t>
  </si>
  <si>
    <t>Garage</t>
  </si>
  <si>
    <t>FOOD_AND_DRINK</t>
  </si>
  <si>
    <t xml:space="preserve">Sainsbury's SAINSBURYS S/MKTS </t>
  </si>
  <si>
    <t>Sainsburys</t>
  </si>
  <si>
    <t xml:space="preserve">Co-op CO OPERATIVE FOOD </t>
  </si>
  <si>
    <t>COOP</t>
  </si>
  <si>
    <t xml:space="preserve">Jijo George 321 bolt repairs  </t>
  </si>
  <si>
    <t>PropertyExpense</t>
  </si>
  <si>
    <t>TESCO STORES 2547     ON 01 JUL BCC</t>
  </si>
  <si>
    <t>Tesco</t>
  </si>
  <si>
    <t xml:space="preserve">Chloe Freshney key cut 321 </t>
  </si>
  <si>
    <t>L&amp;G INSURANCE MI      0114399215-250702 DDR</t>
  </si>
  <si>
    <t xml:space="preserve">A Ancy Treesa Math 23 C HT July  RENT </t>
  </si>
  <si>
    <t xml:space="preserve">Tushar Dandekar RENT TUSHAR DANDEK </t>
  </si>
  <si>
    <t>F1169FAW</t>
  </si>
  <si>
    <t xml:space="preserve">New County Service Sta NEW COUNTY SERVICE STA </t>
  </si>
  <si>
    <t xml:space="preserve">ELLIE BARTON 12  Alhambra Road </t>
  </si>
  <si>
    <t>F121618ALH</t>
  </si>
  <si>
    <t xml:space="preserve">Jijo George 3321 repairs  </t>
  </si>
  <si>
    <t>Funds Transfer</t>
  </si>
  <si>
    <t>ROCCO VALENTINO       NOTES FT</t>
  </si>
  <si>
    <t>Rocco</t>
  </si>
  <si>
    <t>PIC RE ARGOS PET      PETAG934657920001 DDR</t>
  </si>
  <si>
    <t>G &amp; F VALENTINO       M TUCKER STO</t>
  </si>
  <si>
    <t>Hilltop</t>
  </si>
  <si>
    <t>PROFESSIONAL_SERVICES</t>
  </si>
  <si>
    <t xml:space="preserve">Information Commissioner's Office ZB563947 </t>
  </si>
  <si>
    <t>ALESSIO VALENTINO-    FROM MUMMY FT</t>
  </si>
  <si>
    <t>Alessio</t>
  </si>
  <si>
    <t>TOPAZ FIN ROSINCA     BLA00010/134338410 DD</t>
  </si>
  <si>
    <t>F131618ALH</t>
  </si>
  <si>
    <t>TOPAZ FIN ROSINCA     BLA00010/131188407 DD</t>
  </si>
  <si>
    <t>F4321LON</t>
  </si>
  <si>
    <t>SKIPTON B.S.          SBS00001/165905969 DD</t>
  </si>
  <si>
    <t>F88ALH</t>
  </si>
  <si>
    <t>TOPAZ FIN JASPER      PRU00010/191462710 DD</t>
  </si>
  <si>
    <t>F3171FAW</t>
  </si>
  <si>
    <t>PNET5304976-1         PNET5304976-1 DDR</t>
  </si>
  <si>
    <t>TOPAZ FIN ROSINCA     BLA00010/131992707 DD</t>
  </si>
  <si>
    <t>F1321LON</t>
  </si>
  <si>
    <t>TOPAZ FIN ROSINCA     BLA00010/137376006 DD</t>
  </si>
  <si>
    <t>F1171FAW</t>
  </si>
  <si>
    <t>TOPAZ FIN ROSINCA     BLA00010/134333009 DD</t>
  </si>
  <si>
    <t>F111618ALH</t>
  </si>
  <si>
    <t>TOPAZ FIN ROSINCA     BLA00010/134121904 DD</t>
  </si>
  <si>
    <t>F111214ALH</t>
  </si>
  <si>
    <t>TOPAZ FIN ROSINCA     BLA00010/134467209 DD</t>
  </si>
  <si>
    <t>TOPAZ FIN ROSINCA     BLA00010/134332909 DD</t>
  </si>
  <si>
    <t>F11618ALH</t>
  </si>
  <si>
    <t>TOPAZ FIN ROSINCA     BLA00010/137376104 DD</t>
  </si>
  <si>
    <t>F2171FAW</t>
  </si>
  <si>
    <t>TOPAZ FIN ROSINCA     BLA00010/132514207 DD</t>
  </si>
  <si>
    <t>TOPAZ FIN ROSINCA     BLA00010/130654303 DD</t>
  </si>
  <si>
    <t>F3163FRA</t>
  </si>
  <si>
    <t>UNITY MUTUAL KU CT    PL684048A VALENTNO ST</t>
  </si>
  <si>
    <t>SHEPHERDS FRIENDLY    PN026484A DDR</t>
  </si>
  <si>
    <t>F3169FAW</t>
  </si>
  <si>
    <t xml:space="preserve">Peter Taperek 321 lom  </t>
  </si>
  <si>
    <t xml:space="preserve">S Bijumon RENT FOR  Jul 2025 </t>
  </si>
  <si>
    <t>23BHAM</t>
  </si>
  <si>
    <t xml:space="preserve">Ls Partyramakingston LS PARTYRAMAKINGSTON </t>
  </si>
  <si>
    <t xml:space="preserve">DANIELLE FULKER Flat3171Fawcett </t>
  </si>
  <si>
    <t xml:space="preserve">J BOTTLE RENT </t>
  </si>
  <si>
    <t>F58ALH</t>
  </si>
  <si>
    <t xml:space="preserve">T Montgomery FLAT 2 321 LONDON </t>
  </si>
  <si>
    <t>F2321LON</t>
  </si>
  <si>
    <t>Contactless Card Purchase</t>
  </si>
  <si>
    <t>LIDL GB BEDFORD       ON 04 JUL CLP</t>
  </si>
  <si>
    <t>LIDL</t>
  </si>
  <si>
    <t>CO OPERATIVE FOOD     ON 04 JUL CLP</t>
  </si>
  <si>
    <t xml:space="preserve">Jijo George 85 4321 repairs  </t>
  </si>
  <si>
    <t xml:space="preserve">Lidl LIDL GB BEDFORD </t>
  </si>
  <si>
    <t xml:space="preserve">Tesco TESCO STORES 2547 </t>
  </si>
  <si>
    <t xml:space="preserve">Costa Coffee COSTA COFFEE 43011034 </t>
  </si>
  <si>
    <t>EatingOut</t>
  </si>
  <si>
    <t>TRAVEL</t>
  </si>
  <si>
    <t xml:space="preserve">Thameslink Railway TSGN TL FLITWICK SST </t>
  </si>
  <si>
    <t>M Tucker              SF BGC</t>
  </si>
  <si>
    <t>ROCCO                 DAD IS THE BEST FT</t>
  </si>
  <si>
    <t xml:space="preserve">ALDI ALDI STORES </t>
  </si>
  <si>
    <t>ALDI</t>
  </si>
  <si>
    <t>BHAM MIDSHIRES        6092076502030000 DDR</t>
  </si>
  <si>
    <t>196BKIN</t>
  </si>
  <si>
    <t>BHAM MIDSHIRES        6792116703030000 DDR</t>
  </si>
  <si>
    <t>ID MOBILE LIMITED     12253154/001 DDR</t>
  </si>
  <si>
    <t>BHAM MIDSHIRES        6092096352060000 DDR</t>
  </si>
  <si>
    <t>F41214ALH</t>
  </si>
  <si>
    <t xml:space="preserve">Beals FLAT 1 171 FAWCETT </t>
  </si>
  <si>
    <t>WORKPLACE</t>
  </si>
  <si>
    <t>Tds.Gb WWW.TDS.GB.COM flat 13 16-5 Â£1096 Rd 30 June 25 registered tds 9 July 2026 kuang muat thu</t>
  </si>
  <si>
    <t>Deposit</t>
  </si>
  <si>
    <t>Tds.Gb WWW.TDS.GB.COM William Sait deposit rcd 3O June 2025  registered 3 169 faw  9 July 2025</t>
  </si>
  <si>
    <t>ROCCO VALENTINO       FOOD FT</t>
  </si>
  <si>
    <t>Rsa Capital Limite    food BGC</t>
  </si>
  <si>
    <t xml:space="preserve">Jijo George 86 21 46 repairs  </t>
  </si>
  <si>
    <t xml:space="preserve">Ivana  VALENTINO food </t>
  </si>
  <si>
    <t>Ivana</t>
  </si>
  <si>
    <t xml:space="preserve">Brett Ricketts 8, 8 Alhambra </t>
  </si>
  <si>
    <t>OTHER</t>
  </si>
  <si>
    <t xml:space="preserve">Superdrug SUPERDRUG </t>
  </si>
  <si>
    <t>Bill Payment</t>
  </si>
  <si>
    <t>MR LUIGI VALENTINO    44A TDS EW29618664 BB</t>
  </si>
  <si>
    <t xml:space="preserve">Bedford Hospital Bedford Hospital </t>
  </si>
  <si>
    <t xml:space="preserve">Bugisiw Ltd LOAN </t>
  </si>
  <si>
    <t xml:space="preserve">Morr Bedford MORR BEDFORD </t>
  </si>
  <si>
    <t xml:space="preserve">TK Maxx T K MAXX </t>
  </si>
  <si>
    <t>Clothing</t>
  </si>
  <si>
    <t xml:space="preserve">Morrisons W M MORRISON STORE </t>
  </si>
  <si>
    <t>Morrisons</t>
  </si>
  <si>
    <t xml:space="preserve">Marks &amp; Spencer MARKS&amp;SPENCER PLC SACA </t>
  </si>
  <si>
    <t>M&amp;S</t>
  </si>
  <si>
    <t xml:space="preserve">SAMRAT M 16,12-14 Alhambra </t>
  </si>
  <si>
    <t>F161214ALH</t>
  </si>
  <si>
    <t>BHAM MIDSHIRES        6092021491040000 DDR</t>
  </si>
  <si>
    <t>AVIVA LIFE            014033997 DDR</t>
  </si>
  <si>
    <t>Spotify Limited       ON 13 JUL BCC</t>
  </si>
  <si>
    <t>ALESSIO               BEINGGOODLAD FT</t>
  </si>
  <si>
    <t xml:space="preserve">A1 Foods A1 Foods </t>
  </si>
  <si>
    <t>ALESSIO               COOP FT</t>
  </si>
  <si>
    <t xml:space="preserve">Samuel Kirwin Rent 5 12-14 SK </t>
  </si>
  <si>
    <t>F51214ALH</t>
  </si>
  <si>
    <t xml:space="preserve">Lucinda Francis 7, 8 Alhambra Road </t>
  </si>
  <si>
    <t>F78ALH</t>
  </si>
  <si>
    <t xml:space="preserve">Peter Taperek 3163 ref </t>
  </si>
  <si>
    <t>TOPAZ FIN JASPER      PRU00010/190885203 DD</t>
  </si>
  <si>
    <t>TOPAZ FIN JASPER      PRU00010/190959705 DD</t>
  </si>
  <si>
    <t>TOPAZ FIN JASPER      PRU00010/190892600 DD</t>
  </si>
  <si>
    <t>F161618ALH</t>
  </si>
  <si>
    <t>TOPAZ FIN JASPER      PRU00010/190885105 DD</t>
  </si>
  <si>
    <t>F101214ALH</t>
  </si>
  <si>
    <t>TOPAZ FIN JASPER      PRU00010/190812705 DD</t>
  </si>
  <si>
    <t>F31214ALH</t>
  </si>
  <si>
    <t>TOPAZ FIN JASPER      PRU00010/190778206 DD</t>
  </si>
  <si>
    <t>PLATFORM FUNDING      01050228957650 DDR</t>
  </si>
  <si>
    <t>F68ALH</t>
  </si>
  <si>
    <t>PLATFORM FUNDING      01050228957685 DDR</t>
  </si>
  <si>
    <t>PLATFORM FUNDING      01050228979115 DDR</t>
  </si>
  <si>
    <t>F1946ALH</t>
  </si>
  <si>
    <t xml:space="preserve">Mk Council MK COUNCIL - IPS </t>
  </si>
  <si>
    <t xml:space="preserve">No Limitz No Limitz </t>
  </si>
  <si>
    <t>ADMIN</t>
  </si>
  <si>
    <t xml:space="preserve">Hastings Direct HASTINGS INSURANCE </t>
  </si>
  <si>
    <t xml:space="preserve">Lidl LIDL GB BEDFORD GOLDIN </t>
  </si>
  <si>
    <t xml:space="preserve">Boots BOOTS 6407 </t>
  </si>
  <si>
    <t>Pharmacy/Opticians/Dental</t>
  </si>
  <si>
    <t xml:space="preserve">THE DISPUTE SERVIC TDSEW31213942 </t>
  </si>
  <si>
    <t xml:space="preserve">William Sait gas debt 3169 </t>
  </si>
  <si>
    <t xml:space="preserve">PEDACE M FLAT2 171FAWCETT </t>
  </si>
  <si>
    <t xml:space="preserve">A Beck Plumbing &amp; Heating LTD 24901 1 1618 hob gas hob unsafe rewired to fuse board new electro hob </t>
  </si>
  <si>
    <t>EVERSURE LIMITED      C4R-65954864-2/1 BGC</t>
  </si>
  <si>
    <t>TOPAZ FIN JASPER      PRU00010/190859506 DD</t>
  </si>
  <si>
    <t xml:space="preserve">Beals SHOP 196 KINGSTON </t>
  </si>
  <si>
    <t>SHOP196KIN</t>
  </si>
  <si>
    <t>BHAM MIDSHIRES        6792116720030000 DDR</t>
  </si>
  <si>
    <t>BHAM MIDSHIRES        6092045443050000 DDR</t>
  </si>
  <si>
    <t>Emily Cove 21 4-6 Alhambra deposit</t>
  </si>
  <si>
    <t xml:space="preserve">A Beck Plumbing &amp; Heating LTD 24535 3321 blockag </t>
  </si>
  <si>
    <t>PAYPAL PAYMENT        5CM22229DF5GW DDR</t>
  </si>
  <si>
    <t xml:space="preserve">We Fix Bedfordshire Mo WE FIX BEDFORDSHIRE MO </t>
  </si>
  <si>
    <t xml:space="preserve">A Beck Plumbing &amp; Heating LTD 24538 141214 gs </t>
  </si>
  <si>
    <t xml:space="preserve">Primark PRIMARK 434            </t>
  </si>
  <si>
    <t xml:space="preserve">P Saunyama 196B KING </t>
  </si>
  <si>
    <t>196AKIN</t>
  </si>
  <si>
    <t>TESCO STORES 2105     ON 15 JUL BCC</t>
  </si>
  <si>
    <t xml:space="preserve">R Chowdhury FLAT RENT </t>
  </si>
  <si>
    <t>ALDI STORES 776-97    ON 16 JUL CLP</t>
  </si>
  <si>
    <t>ALESSIO               FORVACUUMING FT</t>
  </si>
  <si>
    <t>COSTA COFFEE 43011    ON 16 JUL CLP</t>
  </si>
  <si>
    <t>Craig McIntosh RENT water bill last month</t>
  </si>
  <si>
    <t>UVAROV S Security Deposit flat 20  4-6 deposit Â£1153</t>
  </si>
  <si>
    <t>CO OPERATIVE FOOD     ON 17 JUL CLP</t>
  </si>
  <si>
    <t>ROCCO VALENTINO       QUIZLET FT</t>
  </si>
  <si>
    <t xml:space="preserve">Albany Carpet and Upholstery 3873 312-14 carpet </t>
  </si>
  <si>
    <t xml:space="preserve">Albany Carpet and Upholstery 3871 20 4-6 carpet </t>
  </si>
  <si>
    <t xml:space="preserve">Central Energy South Limited 231 1846 EICR  </t>
  </si>
  <si>
    <t xml:space="preserve">Central Energy South Limited 226 2046 EICR  </t>
  </si>
  <si>
    <t xml:space="preserve">Central Energy South Limited 232 2046 ex fan  </t>
  </si>
  <si>
    <t xml:space="preserve">Lucy Morton-Scott Flat 11, 12-14 </t>
  </si>
  <si>
    <t>AMAZON* RY3AO2MH4     ON 17 JUL BCC</t>
  </si>
  <si>
    <t>Amazon.co.uk*RY0CE    ON 17 JUL BCC</t>
  </si>
  <si>
    <t>Credit</t>
  </si>
  <si>
    <t>SSE SOUTHERN E        6882766014 REV0001Pa</t>
  </si>
  <si>
    <t>169FAW</t>
  </si>
  <si>
    <t>SSE SOUTHERN ELECT    6882766014 STO</t>
  </si>
  <si>
    <t>BHAM MIDSHIRES        6092042862000000 DDR</t>
  </si>
  <si>
    <t xml:space="preserve">H&amp;m H AND M </t>
  </si>
  <si>
    <t>Amazon Marketplace AMZNMktplace*RY7ON36U4 fawcett Rd comunal repairs</t>
  </si>
  <si>
    <t>Wickes WICKES BUILDING paint for flat 18 4_6 and fawcet Road</t>
  </si>
  <si>
    <t xml:space="preserve">Amazon Amazon.co.uk*RY9T36QJ4 </t>
  </si>
  <si>
    <t>Amazon Marketplace AMZNMktplace*RY1RY4Q44 fawcett road comunal repairs</t>
  </si>
  <si>
    <t>Amazon Marketplace AMZNMktplace*RY8Q29Q14 fawcet Road comunal repairs</t>
  </si>
  <si>
    <t>Post Office POST OFFICE COUNTER Gary fyles possession claim to courts in Portsmouth</t>
  </si>
  <si>
    <t>Amazon Marketplace AMZNMktplace*RY7UZ4SN4 fawcett road comunal repairs</t>
  </si>
  <si>
    <t xml:space="preserve">GONGORA OLIVA J FLAT 22 4-6 ALHAMB </t>
  </si>
  <si>
    <t xml:space="preserve">Ivana Valentino food </t>
  </si>
  <si>
    <t>Amazon Amazon.co.uk*RY8LF7274 fawcett road comunal repairs</t>
  </si>
  <si>
    <t xml:space="preserve">Boots BOOTS,MILTON </t>
  </si>
  <si>
    <t xml:space="preserve">Ivana Valentino car </t>
  </si>
  <si>
    <t>ROCCO                 HOLIDAYCASH FT</t>
  </si>
  <si>
    <t>KONZUM P-0784         CROATIAAMOUNT IN EUR</t>
  </si>
  <si>
    <t>Credit Payment</t>
  </si>
  <si>
    <t>INTEREST CHARGED      INTEREST CHARGED</t>
  </si>
  <si>
    <t>WWW.FLYINGPANDA.UK    ON 19 JUL CLP</t>
  </si>
  <si>
    <t>SPECSAVERS 0247600    ON 19 JUL CLP</t>
  </si>
  <si>
    <t>Kokoro                ON 19 JUL CLP</t>
  </si>
  <si>
    <t>CO OPERATIVE FOOD     ON 19 JUL CLP</t>
  </si>
  <si>
    <t>SUPERDRUG             ON 18 JUL CLP</t>
  </si>
  <si>
    <t>SAINSBURYS PETROL     ON 19 JUL CLP</t>
  </si>
  <si>
    <t>MATALAN STORE 331     ON 18 JUL CLP</t>
  </si>
  <si>
    <t>MARKS&amp;SPENCER PLC     ON 18 JUL CLP</t>
  </si>
  <si>
    <t>CO OPERATIVE FOOD     ON 18 JUL CLP</t>
  </si>
  <si>
    <t xml:space="preserve">Ivana  VALENTINO food  </t>
  </si>
  <si>
    <t xml:space="preserve">Jijo George 169 faw repairs  </t>
  </si>
  <si>
    <t>Temu.com              ON 20 JUN BCC</t>
  </si>
  <si>
    <t xml:space="preserve">Costa Coffee COSTA COFFEE 43010829 </t>
  </si>
  <si>
    <t xml:space="preserve">Shake Shack Shake Shack - MH </t>
  </si>
  <si>
    <t>Combined Court Cen COMBINED COURT CEN to process possession paper work for Gary fyles flat 1 16-18 alhambra road</t>
  </si>
  <si>
    <t>THE DISPUTE SERVIC TDSEW35779869 flat 20 4_6 dirty carpet at end of tenancy</t>
  </si>
  <si>
    <t xml:space="preserve">Beals FLAT 10 1214 ALHAM </t>
  </si>
  <si>
    <t xml:space="preserve">KINGSTON DOMESTIC APPLIANCES LTD 10512 2146 washmac </t>
  </si>
  <si>
    <t>SpaceNK Kings Cros    ON 21 JUL CLP</t>
  </si>
  <si>
    <t>STUDENAC 841          CROATIAAMOUNT IN EUR</t>
  </si>
  <si>
    <t xml:space="preserve">KINGSTON DOMESTIC APPLIANCES LTD 10515 2346 oven </t>
  </si>
  <si>
    <t xml:space="preserve">KINGSTON DOMESTIC APPLIANCES LTD 10516 2045 fridge  </t>
  </si>
  <si>
    <t>CO OPERATIVE FOOD     ON 21 JUL CLP</t>
  </si>
  <si>
    <t>BHAM MIDSHIRES        6092076296020000 DDR</t>
  </si>
  <si>
    <t>ID MOBILE LIMITED     11245718/001 DDR</t>
  </si>
  <si>
    <t>Foodhub               ON 21 JUL BCC</t>
  </si>
  <si>
    <t>Sushinoya St Pancr    ON 21 JUL CLP</t>
  </si>
  <si>
    <t>M&amp;S SIMPLY FOOD -     ON 21 JUL CLP</t>
  </si>
  <si>
    <t xml:space="preserve">ALDI ALDI STORES 776-97 </t>
  </si>
  <si>
    <t>DBV DFS               CROATIAAMOUNT IN EUR</t>
  </si>
  <si>
    <t>SOFIA                 TRAINERS FT</t>
  </si>
  <si>
    <t>Sofia</t>
  </si>
  <si>
    <t>ID MOBILE LIMITED     11888885/001 DDR</t>
  </si>
  <si>
    <t xml:space="preserve">MOORE J W F3 12-14 </t>
  </si>
  <si>
    <t xml:space="preserve">Ivo Spinola Ramos Flat 4 12-14 </t>
  </si>
  <si>
    <t xml:space="preserve">A JOY ANGEL JOY  ,FLAT 7 </t>
  </si>
  <si>
    <t>F71214ALH</t>
  </si>
  <si>
    <t xml:space="preserve">G Pachis RENT </t>
  </si>
  <si>
    <t>Amazon Amazon.co.uk*RS48W2VW4 fawcet Road comuu repairs</t>
  </si>
  <si>
    <t xml:space="preserve">Welcome Break WELCOME BREAK WHS </t>
  </si>
  <si>
    <t>MARENDA CAFFE BAR     CROATIAAMOUNT IN EUR</t>
  </si>
  <si>
    <t xml:space="preserve">Portsmouth City Counci Portsmouth City Counci </t>
  </si>
  <si>
    <t>DIRECTORS_WAGES</t>
  </si>
  <si>
    <t xml:space="preserve">Ivana Valentino wages 24 July TP 4 </t>
  </si>
  <si>
    <t xml:space="preserve">Welcome Break WELCOME BREAK-FLEET S/ </t>
  </si>
  <si>
    <t>ALESSIO               TOOTHPASTECASH FT</t>
  </si>
  <si>
    <t>ALESSIO               DRINK FT</t>
  </si>
  <si>
    <t>HMRC HMRC ETMP paye Rsa Capital. Limited employers month 4</t>
  </si>
  <si>
    <t xml:space="preserve">Tap 000000003223225556 </t>
  </si>
  <si>
    <t>ALDI STORES 776-97    ON 24 JUL CLP</t>
  </si>
  <si>
    <t>Bedford Hospital      ON 24 JUL BCC</t>
  </si>
  <si>
    <t>BP WISLEY NORTH       ON 23 JUL BCC</t>
  </si>
  <si>
    <t>Tds.Gb WWW.TDS.GB.COM flat 20 4_6 deposit from sergiy UVAROV Â£1153 received on 18 /7/25</t>
  </si>
  <si>
    <t>Amazon Marketplace AMZNMktplace*RS6KU9IL4 banister fawcet Road</t>
  </si>
  <si>
    <t xml:space="preserve">Costa Coffee COSTA COFFEE 43011239 </t>
  </si>
  <si>
    <t xml:space="preserve">Amazon Prime Amazon Prime*RS14I6W44 </t>
  </si>
  <si>
    <t xml:space="preserve">Jijo George 88 18 4-5 repair  </t>
  </si>
  <si>
    <t>TOGETHER COMMERCIA    10279063 DDR</t>
  </si>
  <si>
    <t>Prime Video Rent /    ON 26 JUL BCC</t>
  </si>
  <si>
    <t>MICROSOFT*ULTIMATE    ON 26 JUL BCC</t>
  </si>
  <si>
    <t>BOOTS OPTICIANS       A45028400000736 DDR</t>
  </si>
  <si>
    <t>ALESSIO VALENTINO-    BROKEN DINGER FT</t>
  </si>
  <si>
    <t>H3G                   980404269602200091 DD</t>
  </si>
  <si>
    <t>PHONE_AND_INTERNET</t>
  </si>
  <si>
    <t xml:space="preserve">Microsoft Microsoft*Microsoft 36 </t>
  </si>
  <si>
    <t xml:space="preserve">KARUN Security deposit </t>
  </si>
  <si>
    <t>Amazon Marketplace AMZNMktplace*RJ72T13W4 railings for fawcet Road comunal. area</t>
  </si>
  <si>
    <t xml:space="preserve">The Range THE RANGE </t>
  </si>
  <si>
    <t>Toby Stokes 2146 vinyl fit imperial flooring 21 4_6</t>
  </si>
  <si>
    <t xml:space="preserve">CLASSIC CARPETS PORTSMOUTH LIMITED 1425 214-6 vinyl </t>
  </si>
  <si>
    <t xml:space="preserve">Dono Kuriakose 11 16-18- rent </t>
  </si>
  <si>
    <t xml:space="preserve">K Hudson RENT 16,16-18 </t>
  </si>
  <si>
    <t xml:space="preserve">Matthew  Watts 196A KINGSTON ROAD </t>
  </si>
  <si>
    <t xml:space="preserve">Wizard staff solutions ltd Sofia Valentino  </t>
  </si>
  <si>
    <t>SOFIA                 POLOTOP FT</t>
  </si>
  <si>
    <t>BHAM MIDSHIRES        6092036837070000 DDR</t>
  </si>
  <si>
    <t>Post Office Banking Services Cash Withdrawal at 4 The Green Bedford MK45 4AD GB dog grooming</t>
  </si>
  <si>
    <t xml:space="preserve">Specsavers SPECSAVERS </t>
  </si>
  <si>
    <t xml:space="preserve">Matalan - Store 331 MATALAN STORE 331 </t>
  </si>
  <si>
    <t xml:space="preserve">Kye Elliott-Street Rsa Capital Limite </t>
  </si>
  <si>
    <t xml:space="preserve">Hollister Milton Keynes Gbr HOLLISTER (MIDSUMMER) </t>
  </si>
  <si>
    <t>BANK_CHARGES</t>
  </si>
  <si>
    <t xml:space="preserve">Starling Bank Charge for cash withdrawal at Post Office on 2025-07-30 at 10:02:57 4 The Green Bedford MK45 4AD GB </t>
  </si>
  <si>
    <t>MARKS&amp;SPENCER PLC     ON 29 JUL CLP</t>
  </si>
  <si>
    <t>MK COUNCIL - IPS      ON 29 JUL CLP</t>
  </si>
  <si>
    <t>CO OPERATIVE FOOD     ON 29 JUL CLP</t>
  </si>
  <si>
    <t xml:space="preserve">Sean Connacher rent </t>
  </si>
  <si>
    <t>Post Office POST OFFICE COUNTER s13 2321 Thomas Montgomery</t>
  </si>
  <si>
    <t xml:space="preserve">Post Office POST OFFICE COUNTER </t>
  </si>
  <si>
    <t xml:space="preserve">ALDINGTON H FLAT 4 321LONDONRD </t>
  </si>
  <si>
    <t>M Brett M Brett arrears</t>
  </si>
  <si>
    <t>Timpson Timpson Ltd 5140 copy of keys to property</t>
  </si>
  <si>
    <t>THE DISPUTE SERVIC TDSEW16471214 flat 19 4_6 damages to property k. Parsons</t>
  </si>
  <si>
    <t>F1846ALH</t>
  </si>
  <si>
    <t xml:space="preserve">Michael  Pedace keys 2 171 Faw </t>
  </si>
  <si>
    <t>MORTGAGE TRUST        002197389 10129960 DD</t>
  </si>
  <si>
    <t>PARAGON BANK PLC      002186317 10129960 DD</t>
  </si>
  <si>
    <t>PARAGON BANK PLC      002186356 10129960 DD</t>
  </si>
  <si>
    <t>PARAGON BANK PLC      002186357 10129960 DD</t>
  </si>
  <si>
    <t>F1746ALH</t>
  </si>
  <si>
    <t>HOME BARGAINS         ON 30 JUL CLP</t>
  </si>
  <si>
    <t>Household</t>
  </si>
  <si>
    <t>TESCO STORES 2105     ON 30 JUL CLP</t>
  </si>
  <si>
    <t>LIDL GB BEDFORD       ON 30 JUL CLP</t>
  </si>
  <si>
    <t>Contactless Card Refund</t>
  </si>
  <si>
    <t>TESCO STORES 2105     ON 30 JUL CLR</t>
  </si>
  <si>
    <t>CO OPERATIVE FOOD     ON 30 JUL CLP</t>
  </si>
  <si>
    <t>TESCO STORES 2105     ON 30 JUL BCC</t>
  </si>
  <si>
    <t>EE LIMITED            Q13077400641603586 DD</t>
  </si>
  <si>
    <t xml:space="preserve">Jijo George 89 169 faw comunal </t>
  </si>
  <si>
    <t>£186.40 paid</t>
  </si>
  <si>
    <t>Rent for period 17/07/25-16/06/25 Ms Emily cove and Mr Kimi Bethke</t>
  </si>
  <si>
    <t>Fox &amp; Sons fee</t>
  </si>
  <si>
    <t>Rent for period 18/07/25-17/08/25 Mr Sergiy Uvarov</t>
  </si>
  <si>
    <t>Rent for period 30/06/25-29/07/25 Mr William Sait</t>
  </si>
  <si>
    <t>Rent for period 30/06/25 - 29/07/25 Mr Kaung Thu</t>
  </si>
  <si>
    <t>Company</t>
  </si>
  <si>
    <t>LoanRepayment</t>
  </si>
  <si>
    <t>A1Foods</t>
  </si>
  <si>
    <t>Bank</t>
  </si>
  <si>
    <t>Cash</t>
  </si>
  <si>
    <t>Sofia car insurance</t>
  </si>
  <si>
    <t>BealsRent</t>
  </si>
  <si>
    <t>MTPayment</t>
  </si>
  <si>
    <t>Interbank</t>
  </si>
  <si>
    <t>Unassigned</t>
  </si>
  <si>
    <t>RSA</t>
  </si>
  <si>
    <t>SFLoan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</si>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</sst>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7823-C56D-4A35-BBD7-EBC082E69A23}">
  <dimension ref="A1:I357"/>
  <sheetViews>
    <sheetView tabSelected="1" zoomScale="85" zoomScaleNormal="85" workbookViewId="0">
      <selection activeCell="F375" sqref="E374:F375"/>
    </sheetView>
  </sheetViews>
  <sheetFormatPr defaultRowHeight="15" x14ac:dyDescent="0.25"/>
  <cols>
    <col min="1" max="1" width="10.7109375" bestFit="1" customWidth="1"/>
    <col min="2" max="2" width="17" bestFit="1" customWidth="1"/>
    <col min="4" max="4" width="28.140625" bestFit="1" customWidth="1"/>
    <col min="5" max="5" width="108.5703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45839</v>
      </c>
      <c r="B2" t="s">
        <v>9</v>
      </c>
      <c r="C2">
        <v>-2807.29</v>
      </c>
      <c r="D2" t="s">
        <v>10</v>
      </c>
      <c r="E2" t="s">
        <v>11</v>
      </c>
      <c r="G2" t="s">
        <v>12</v>
      </c>
    </row>
    <row r="3" spans="1:9" x14ac:dyDescent="0.25">
      <c r="A3" s="1">
        <v>45839</v>
      </c>
      <c r="B3" t="s">
        <v>13</v>
      </c>
      <c r="C3">
        <v>775</v>
      </c>
      <c r="D3" t="s">
        <v>14</v>
      </c>
      <c r="E3" t="s">
        <v>15</v>
      </c>
      <c r="F3" t="s">
        <v>16</v>
      </c>
      <c r="G3" t="s">
        <v>17</v>
      </c>
    </row>
    <row r="4" spans="1:9" x14ac:dyDescent="0.25">
      <c r="A4" s="1">
        <v>45839</v>
      </c>
      <c r="B4" t="s">
        <v>13</v>
      </c>
      <c r="C4">
        <v>925</v>
      </c>
      <c r="D4" t="s">
        <v>14</v>
      </c>
      <c r="E4" t="s">
        <v>18</v>
      </c>
      <c r="F4" t="s">
        <v>19</v>
      </c>
      <c r="G4" t="s">
        <v>17</v>
      </c>
    </row>
    <row r="5" spans="1:9" x14ac:dyDescent="0.25">
      <c r="A5" s="1">
        <v>45839</v>
      </c>
      <c r="B5" t="s">
        <v>13</v>
      </c>
      <c r="C5">
        <v>980</v>
      </c>
      <c r="D5" t="s">
        <v>14</v>
      </c>
      <c r="E5" t="s">
        <v>20</v>
      </c>
      <c r="F5" t="s">
        <v>21</v>
      </c>
      <c r="G5" t="s">
        <v>17</v>
      </c>
    </row>
    <row r="6" spans="1:9" x14ac:dyDescent="0.25">
      <c r="A6" s="1">
        <v>45839</v>
      </c>
      <c r="B6" t="s">
        <v>13</v>
      </c>
      <c r="C6">
        <v>525</v>
      </c>
      <c r="D6" t="s">
        <v>14</v>
      </c>
      <c r="E6" t="s">
        <v>22</v>
      </c>
      <c r="F6" t="s">
        <v>23</v>
      </c>
      <c r="G6" t="s">
        <v>17</v>
      </c>
    </row>
    <row r="7" spans="1:9" x14ac:dyDescent="0.25">
      <c r="A7" s="1">
        <v>45839</v>
      </c>
      <c r="B7" t="s">
        <v>13</v>
      </c>
      <c r="C7">
        <v>-320</v>
      </c>
      <c r="D7" t="s">
        <v>24</v>
      </c>
      <c r="E7" t="s">
        <v>25</v>
      </c>
      <c r="G7" t="s">
        <v>26</v>
      </c>
    </row>
    <row r="8" spans="1:9" x14ac:dyDescent="0.25">
      <c r="A8" s="1">
        <v>45839</v>
      </c>
      <c r="B8" t="s">
        <v>13</v>
      </c>
      <c r="C8">
        <v>100</v>
      </c>
      <c r="D8" t="s">
        <v>14</v>
      </c>
      <c r="E8" t="s">
        <v>27</v>
      </c>
      <c r="G8" t="s">
        <v>26</v>
      </c>
    </row>
    <row r="9" spans="1:9" x14ac:dyDescent="0.25">
      <c r="A9" s="1">
        <v>45839</v>
      </c>
      <c r="B9" t="s">
        <v>13</v>
      </c>
      <c r="C9">
        <v>-100</v>
      </c>
      <c r="D9" t="s">
        <v>24</v>
      </c>
      <c r="E9" t="s">
        <v>27</v>
      </c>
      <c r="G9" t="s">
        <v>26</v>
      </c>
    </row>
    <row r="10" spans="1:9" x14ac:dyDescent="0.25">
      <c r="A10" s="1">
        <v>45839</v>
      </c>
      <c r="B10" t="s">
        <v>13</v>
      </c>
      <c r="C10">
        <v>-315</v>
      </c>
      <c r="D10" t="s">
        <v>24</v>
      </c>
      <c r="E10" t="s">
        <v>28</v>
      </c>
      <c r="G10" t="s">
        <v>26</v>
      </c>
    </row>
    <row r="11" spans="1:9" x14ac:dyDescent="0.25">
      <c r="A11" s="1">
        <v>45839</v>
      </c>
      <c r="B11" t="s">
        <v>29</v>
      </c>
      <c r="C11">
        <v>-348.09</v>
      </c>
      <c r="D11" t="s">
        <v>10</v>
      </c>
      <c r="E11" t="s">
        <v>30</v>
      </c>
      <c r="F11" s="5" t="s">
        <v>23</v>
      </c>
      <c r="G11" t="s">
        <v>31</v>
      </c>
    </row>
    <row r="12" spans="1:9" x14ac:dyDescent="0.25">
      <c r="A12" s="1">
        <v>45839</v>
      </c>
      <c r="B12" t="s">
        <v>13</v>
      </c>
      <c r="C12">
        <v>-465</v>
      </c>
      <c r="D12" t="s">
        <v>24</v>
      </c>
      <c r="E12" t="s">
        <v>25</v>
      </c>
      <c r="G12" t="s">
        <v>26</v>
      </c>
    </row>
    <row r="13" spans="1:9" x14ac:dyDescent="0.25">
      <c r="A13" s="1">
        <v>45839</v>
      </c>
      <c r="B13" t="s">
        <v>29</v>
      </c>
      <c r="C13">
        <v>-346.06</v>
      </c>
      <c r="D13" t="s">
        <v>10</v>
      </c>
      <c r="E13" t="s">
        <v>32</v>
      </c>
      <c r="F13" s="5" t="s">
        <v>52</v>
      </c>
      <c r="G13" t="s">
        <v>31</v>
      </c>
    </row>
    <row r="14" spans="1:9" x14ac:dyDescent="0.25">
      <c r="A14" s="1">
        <v>45839</v>
      </c>
      <c r="B14" t="s">
        <v>29</v>
      </c>
      <c r="C14">
        <v>-558.04999999999995</v>
      </c>
      <c r="D14" t="s">
        <v>10</v>
      </c>
      <c r="E14" s="2" t="s">
        <v>33</v>
      </c>
      <c r="F14" t="s">
        <v>21</v>
      </c>
      <c r="G14" t="s">
        <v>31</v>
      </c>
    </row>
    <row r="15" spans="1:9" x14ac:dyDescent="0.25">
      <c r="A15" s="1">
        <v>45839</v>
      </c>
      <c r="B15" t="s">
        <v>29</v>
      </c>
      <c r="C15">
        <v>-942.27</v>
      </c>
      <c r="D15" t="s">
        <v>10</v>
      </c>
      <c r="E15" s="2" t="s">
        <v>34</v>
      </c>
      <c r="F15" t="s">
        <v>35</v>
      </c>
      <c r="G15" t="s">
        <v>31</v>
      </c>
    </row>
    <row r="16" spans="1:9" x14ac:dyDescent="0.25">
      <c r="A16" s="1">
        <v>45839</v>
      </c>
      <c r="B16" t="s">
        <v>29</v>
      </c>
      <c r="C16">
        <v>-553.54</v>
      </c>
      <c r="D16" t="s">
        <v>10</v>
      </c>
      <c r="E16" s="2" t="s">
        <v>36</v>
      </c>
      <c r="F16" t="s">
        <v>37</v>
      </c>
      <c r="G16" t="s">
        <v>31</v>
      </c>
    </row>
    <row r="17" spans="1:9" x14ac:dyDescent="0.25">
      <c r="A17" s="1">
        <v>45839</v>
      </c>
      <c r="B17" t="s">
        <v>29</v>
      </c>
      <c r="C17">
        <v>-510.98</v>
      </c>
      <c r="D17" t="s">
        <v>10</v>
      </c>
      <c r="E17" s="2" t="s">
        <v>38</v>
      </c>
      <c r="F17" t="s">
        <v>39</v>
      </c>
      <c r="G17" t="s">
        <v>31</v>
      </c>
    </row>
    <row r="18" spans="1:9" x14ac:dyDescent="0.25">
      <c r="A18" s="1">
        <v>45839</v>
      </c>
      <c r="B18" t="s">
        <v>29</v>
      </c>
      <c r="C18">
        <v>-499.16</v>
      </c>
      <c r="D18" t="s">
        <v>10</v>
      </c>
      <c r="E18" s="2" t="s">
        <v>40</v>
      </c>
      <c r="F18" t="s">
        <v>41</v>
      </c>
      <c r="G18" t="s">
        <v>31</v>
      </c>
    </row>
    <row r="19" spans="1:9" x14ac:dyDescent="0.25">
      <c r="A19" s="1">
        <v>45839</v>
      </c>
      <c r="B19" t="s">
        <v>29</v>
      </c>
      <c r="C19">
        <v>-554.48</v>
      </c>
      <c r="D19" t="s">
        <v>10</v>
      </c>
      <c r="E19" s="2" t="s">
        <v>42</v>
      </c>
      <c r="F19" t="s">
        <v>43</v>
      </c>
      <c r="G19" t="s">
        <v>31</v>
      </c>
    </row>
    <row r="20" spans="1:9" x14ac:dyDescent="0.25">
      <c r="A20" s="1">
        <v>45839</v>
      </c>
      <c r="B20" t="s">
        <v>29</v>
      </c>
      <c r="C20">
        <v>-659.15</v>
      </c>
      <c r="D20" t="s">
        <v>10</v>
      </c>
      <c r="E20" s="2" t="s">
        <v>44</v>
      </c>
      <c r="F20" t="s">
        <v>45</v>
      </c>
      <c r="G20" t="s">
        <v>31</v>
      </c>
    </row>
    <row r="21" spans="1:9" x14ac:dyDescent="0.25">
      <c r="A21" s="1">
        <v>45839</v>
      </c>
      <c r="B21" t="s">
        <v>46</v>
      </c>
      <c r="C21">
        <v>300</v>
      </c>
      <c r="D21" t="s">
        <v>47</v>
      </c>
      <c r="E21" t="s">
        <v>48</v>
      </c>
      <c r="G21" t="s">
        <v>399</v>
      </c>
    </row>
    <row r="22" spans="1:9" x14ac:dyDescent="0.25">
      <c r="A22" s="1">
        <v>45839</v>
      </c>
      <c r="B22" t="s">
        <v>13</v>
      </c>
      <c r="C22">
        <v>600</v>
      </c>
      <c r="D22" t="s">
        <v>14</v>
      </c>
      <c r="E22" t="s">
        <v>49</v>
      </c>
      <c r="F22" t="s">
        <v>50</v>
      </c>
      <c r="G22" t="s">
        <v>17</v>
      </c>
    </row>
    <row r="23" spans="1:9" x14ac:dyDescent="0.25">
      <c r="A23" s="1">
        <v>45839</v>
      </c>
      <c r="B23" t="s">
        <v>13</v>
      </c>
      <c r="C23">
        <v>775</v>
      </c>
      <c r="D23" t="s">
        <v>14</v>
      </c>
      <c r="E23" t="s">
        <v>51</v>
      </c>
      <c r="F23" t="s">
        <v>52</v>
      </c>
      <c r="G23" t="s">
        <v>17</v>
      </c>
    </row>
    <row r="24" spans="1:9" x14ac:dyDescent="0.25">
      <c r="A24" s="1">
        <v>45839</v>
      </c>
      <c r="B24" t="s">
        <v>13</v>
      </c>
      <c r="C24">
        <v>-199</v>
      </c>
      <c r="D24" t="s">
        <v>53</v>
      </c>
      <c r="E24" t="s">
        <v>54</v>
      </c>
      <c r="F24" t="s">
        <v>402</v>
      </c>
      <c r="G24" t="s">
        <v>392</v>
      </c>
    </row>
    <row r="25" spans="1:9" x14ac:dyDescent="0.25">
      <c r="A25" s="1">
        <v>45839</v>
      </c>
      <c r="B25" t="s">
        <v>9</v>
      </c>
      <c r="C25">
        <v>-42.43</v>
      </c>
      <c r="D25" t="s">
        <v>10</v>
      </c>
      <c r="E25" t="s">
        <v>56</v>
      </c>
      <c r="G25" t="s">
        <v>57</v>
      </c>
    </row>
    <row r="26" spans="1:9" x14ac:dyDescent="0.25">
      <c r="A26" s="1">
        <v>45839</v>
      </c>
      <c r="B26" t="s">
        <v>9</v>
      </c>
      <c r="C26">
        <v>-50</v>
      </c>
      <c r="D26" t="s">
        <v>58</v>
      </c>
      <c r="E26" t="s">
        <v>59</v>
      </c>
      <c r="G26" t="s">
        <v>57</v>
      </c>
    </row>
    <row r="27" spans="1:9" x14ac:dyDescent="0.25">
      <c r="A27" s="1">
        <v>45839</v>
      </c>
      <c r="B27" t="s">
        <v>9</v>
      </c>
      <c r="C27">
        <v>-7.99</v>
      </c>
      <c r="D27" t="s">
        <v>60</v>
      </c>
      <c r="E27" t="s">
        <v>61</v>
      </c>
      <c r="G27" t="s">
        <v>62</v>
      </c>
      <c r="I27" t="s">
        <v>63</v>
      </c>
    </row>
    <row r="28" spans="1:9" x14ac:dyDescent="0.25">
      <c r="A28" s="1">
        <v>45839</v>
      </c>
      <c r="B28" t="s">
        <v>9</v>
      </c>
      <c r="C28">
        <v>-3.99</v>
      </c>
      <c r="D28" t="s">
        <v>60</v>
      </c>
      <c r="E28" t="s">
        <v>64</v>
      </c>
      <c r="G28" t="s">
        <v>62</v>
      </c>
      <c r="I28" t="s">
        <v>65</v>
      </c>
    </row>
    <row r="29" spans="1:9" x14ac:dyDescent="0.25">
      <c r="A29" s="1">
        <v>45839</v>
      </c>
      <c r="B29" t="s">
        <v>9</v>
      </c>
      <c r="C29">
        <v>-5.99</v>
      </c>
      <c r="D29" t="s">
        <v>60</v>
      </c>
      <c r="E29" t="s">
        <v>66</v>
      </c>
      <c r="G29" t="s">
        <v>62</v>
      </c>
      <c r="I29" t="s">
        <v>63</v>
      </c>
    </row>
    <row r="30" spans="1:9" x14ac:dyDescent="0.25">
      <c r="A30" s="1">
        <v>45839</v>
      </c>
      <c r="B30" t="s">
        <v>9</v>
      </c>
      <c r="C30">
        <v>-2.99</v>
      </c>
      <c r="D30" t="s">
        <v>60</v>
      </c>
      <c r="E30" t="s">
        <v>67</v>
      </c>
      <c r="G30" t="s">
        <v>62</v>
      </c>
      <c r="I30" t="s">
        <v>65</v>
      </c>
    </row>
    <row r="31" spans="1:9" x14ac:dyDescent="0.25">
      <c r="A31" s="1">
        <v>45839</v>
      </c>
      <c r="B31" t="s">
        <v>13</v>
      </c>
      <c r="C31">
        <v>-4971.78</v>
      </c>
      <c r="D31" t="s">
        <v>68</v>
      </c>
      <c r="E31" t="s">
        <v>69</v>
      </c>
      <c r="G31" t="s">
        <v>70</v>
      </c>
    </row>
    <row r="32" spans="1:9" x14ac:dyDescent="0.25">
      <c r="A32" s="1">
        <v>45839</v>
      </c>
      <c r="B32" t="s">
        <v>29</v>
      </c>
      <c r="C32">
        <v>4971.78</v>
      </c>
      <c r="D32" t="s">
        <v>47</v>
      </c>
      <c r="E32" t="s">
        <v>71</v>
      </c>
      <c r="G32" t="s">
        <v>400</v>
      </c>
    </row>
    <row r="33" spans="1:9" x14ac:dyDescent="0.25">
      <c r="A33" s="1">
        <v>45839</v>
      </c>
      <c r="B33" t="s">
        <v>13</v>
      </c>
      <c r="C33">
        <v>-11.7</v>
      </c>
      <c r="D33" t="s">
        <v>72</v>
      </c>
      <c r="E33" t="s">
        <v>73</v>
      </c>
      <c r="G33" t="s">
        <v>62</v>
      </c>
      <c r="I33" t="s">
        <v>74</v>
      </c>
    </row>
    <row r="34" spans="1:9" x14ac:dyDescent="0.25">
      <c r="A34" s="1">
        <v>45839</v>
      </c>
      <c r="B34" t="s">
        <v>13</v>
      </c>
      <c r="C34">
        <v>-3.5</v>
      </c>
      <c r="D34" t="s">
        <v>75</v>
      </c>
      <c r="E34" t="s">
        <v>76</v>
      </c>
      <c r="G34" t="s">
        <v>62</v>
      </c>
      <c r="I34" t="s">
        <v>77</v>
      </c>
    </row>
    <row r="35" spans="1:9" x14ac:dyDescent="0.25">
      <c r="A35" s="1">
        <v>45839</v>
      </c>
      <c r="B35" t="s">
        <v>13</v>
      </c>
      <c r="C35">
        <v>-44.69</v>
      </c>
      <c r="D35" t="s">
        <v>75</v>
      </c>
      <c r="E35" t="s">
        <v>76</v>
      </c>
      <c r="G35" t="s">
        <v>62</v>
      </c>
      <c r="I35" t="s">
        <v>77</v>
      </c>
    </row>
    <row r="36" spans="1:9" x14ac:dyDescent="0.25">
      <c r="A36" s="1">
        <v>45839</v>
      </c>
      <c r="B36" t="s">
        <v>13</v>
      </c>
      <c r="C36">
        <v>-10.199999999999999</v>
      </c>
      <c r="D36" t="s">
        <v>24</v>
      </c>
      <c r="E36" t="s">
        <v>78</v>
      </c>
      <c r="G36" t="s">
        <v>62</v>
      </c>
      <c r="I36" t="s">
        <v>79</v>
      </c>
    </row>
    <row r="37" spans="1:9" x14ac:dyDescent="0.25">
      <c r="A37" s="1">
        <v>45840</v>
      </c>
      <c r="B37" t="s">
        <v>13</v>
      </c>
      <c r="C37">
        <v>-22.5</v>
      </c>
      <c r="D37" t="s">
        <v>24</v>
      </c>
      <c r="E37" t="s">
        <v>80</v>
      </c>
      <c r="F37" t="s">
        <v>106</v>
      </c>
      <c r="G37" t="s">
        <v>81</v>
      </c>
    </row>
    <row r="38" spans="1:9" x14ac:dyDescent="0.25">
      <c r="A38" s="1">
        <v>45840</v>
      </c>
      <c r="B38" t="s">
        <v>46</v>
      </c>
      <c r="C38">
        <v>-227.7</v>
      </c>
      <c r="D38" t="s">
        <v>60</v>
      </c>
      <c r="E38" t="s">
        <v>82</v>
      </c>
      <c r="G38" t="s">
        <v>62</v>
      </c>
      <c r="I38" t="s">
        <v>83</v>
      </c>
    </row>
    <row r="39" spans="1:9" x14ac:dyDescent="0.25">
      <c r="A39" s="1">
        <v>45840</v>
      </c>
      <c r="B39" t="s">
        <v>13</v>
      </c>
      <c r="C39">
        <v>-13.8</v>
      </c>
      <c r="D39" t="s">
        <v>24</v>
      </c>
      <c r="E39" t="s">
        <v>78</v>
      </c>
      <c r="G39" t="s">
        <v>62</v>
      </c>
      <c r="I39" t="s">
        <v>79</v>
      </c>
    </row>
    <row r="40" spans="1:9" x14ac:dyDescent="0.25">
      <c r="A40" s="1">
        <v>45840</v>
      </c>
      <c r="B40" t="s">
        <v>13</v>
      </c>
      <c r="C40">
        <v>-9</v>
      </c>
      <c r="D40" t="s">
        <v>24</v>
      </c>
      <c r="E40" t="s">
        <v>84</v>
      </c>
      <c r="F40" t="s">
        <v>106</v>
      </c>
      <c r="G40" t="s">
        <v>81</v>
      </c>
    </row>
    <row r="41" spans="1:9" x14ac:dyDescent="0.25">
      <c r="A41" s="1">
        <v>45840</v>
      </c>
      <c r="B41" t="s">
        <v>29</v>
      </c>
      <c r="C41">
        <v>-37.950000000000003</v>
      </c>
      <c r="D41" t="s">
        <v>10</v>
      </c>
      <c r="E41" t="s">
        <v>85</v>
      </c>
      <c r="G41" t="s">
        <v>57</v>
      </c>
    </row>
    <row r="42" spans="1:9" x14ac:dyDescent="0.25">
      <c r="A42" s="1">
        <v>45840</v>
      </c>
      <c r="B42" t="s">
        <v>13</v>
      </c>
      <c r="C42">
        <v>1050</v>
      </c>
      <c r="D42" t="s">
        <v>14</v>
      </c>
      <c r="E42" t="s">
        <v>86</v>
      </c>
      <c r="F42" t="s">
        <v>35</v>
      </c>
      <c r="G42" t="s">
        <v>17</v>
      </c>
    </row>
    <row r="43" spans="1:9" x14ac:dyDescent="0.25">
      <c r="A43" s="1">
        <v>45840</v>
      </c>
      <c r="B43" t="s">
        <v>13</v>
      </c>
      <c r="C43">
        <v>675</v>
      </c>
      <c r="D43" t="s">
        <v>14</v>
      </c>
      <c r="E43" t="s">
        <v>87</v>
      </c>
      <c r="F43" t="s">
        <v>88</v>
      </c>
      <c r="G43" t="s">
        <v>17</v>
      </c>
    </row>
    <row r="44" spans="1:9" x14ac:dyDescent="0.25">
      <c r="A44" s="1">
        <v>45840</v>
      </c>
      <c r="B44" t="s">
        <v>13</v>
      </c>
      <c r="C44">
        <v>-81.86</v>
      </c>
      <c r="D44" t="s">
        <v>72</v>
      </c>
      <c r="E44" t="s">
        <v>89</v>
      </c>
      <c r="G44" t="s">
        <v>62</v>
      </c>
      <c r="I44" t="s">
        <v>74</v>
      </c>
    </row>
    <row r="45" spans="1:9" x14ac:dyDescent="0.25">
      <c r="A45" s="1">
        <v>45840</v>
      </c>
      <c r="B45" t="s">
        <v>13</v>
      </c>
      <c r="C45">
        <v>850</v>
      </c>
      <c r="D45" t="s">
        <v>14</v>
      </c>
      <c r="E45" t="s">
        <v>90</v>
      </c>
      <c r="F45" t="s">
        <v>91</v>
      </c>
      <c r="G45" t="s">
        <v>17</v>
      </c>
    </row>
    <row r="46" spans="1:9" x14ac:dyDescent="0.25">
      <c r="A46" s="1">
        <v>45840</v>
      </c>
      <c r="B46" t="s">
        <v>13</v>
      </c>
      <c r="C46">
        <v>-14</v>
      </c>
      <c r="D46" t="s">
        <v>24</v>
      </c>
      <c r="E46" t="s">
        <v>92</v>
      </c>
      <c r="F46" t="s">
        <v>23</v>
      </c>
      <c r="G46" t="s">
        <v>81</v>
      </c>
    </row>
    <row r="47" spans="1:9" x14ac:dyDescent="0.25">
      <c r="A47" s="1">
        <v>45840</v>
      </c>
      <c r="B47" t="s">
        <v>46</v>
      </c>
      <c r="C47">
        <v>-30</v>
      </c>
      <c r="D47" t="s">
        <v>93</v>
      </c>
      <c r="E47" t="s">
        <v>94</v>
      </c>
      <c r="G47" t="s">
        <v>62</v>
      </c>
      <c r="I47" t="s">
        <v>95</v>
      </c>
    </row>
    <row r="48" spans="1:9" x14ac:dyDescent="0.25">
      <c r="A48" s="1">
        <v>45840</v>
      </c>
      <c r="B48" t="s">
        <v>13</v>
      </c>
      <c r="C48">
        <v>-5.6</v>
      </c>
      <c r="D48" t="s">
        <v>24</v>
      </c>
      <c r="E48" t="s">
        <v>78</v>
      </c>
      <c r="G48" t="s">
        <v>62</v>
      </c>
      <c r="I48" t="s">
        <v>79</v>
      </c>
    </row>
    <row r="49" spans="1:9" x14ac:dyDescent="0.25">
      <c r="A49" s="1">
        <v>45840</v>
      </c>
      <c r="B49" t="s">
        <v>9</v>
      </c>
      <c r="C49">
        <v>-119.48</v>
      </c>
      <c r="D49" t="s">
        <v>10</v>
      </c>
      <c r="E49" t="s">
        <v>96</v>
      </c>
      <c r="G49" t="s">
        <v>57</v>
      </c>
    </row>
    <row r="50" spans="1:9" x14ac:dyDescent="0.25">
      <c r="A50" s="1">
        <v>45840</v>
      </c>
      <c r="B50" t="s">
        <v>9</v>
      </c>
      <c r="C50">
        <v>-300</v>
      </c>
      <c r="D50" t="s">
        <v>58</v>
      </c>
      <c r="E50" t="s">
        <v>97</v>
      </c>
      <c r="G50" t="s">
        <v>98</v>
      </c>
    </row>
    <row r="51" spans="1:9" x14ac:dyDescent="0.25">
      <c r="A51" s="1">
        <v>45841</v>
      </c>
      <c r="B51" t="s">
        <v>13</v>
      </c>
      <c r="C51">
        <v>-47</v>
      </c>
      <c r="D51" t="s">
        <v>99</v>
      </c>
      <c r="E51" t="s">
        <v>100</v>
      </c>
      <c r="F51" t="s">
        <v>402</v>
      </c>
      <c r="G51" t="s">
        <v>392</v>
      </c>
    </row>
    <row r="52" spans="1:9" x14ac:dyDescent="0.25">
      <c r="A52" s="1">
        <v>45841</v>
      </c>
      <c r="B52" t="s">
        <v>13</v>
      </c>
      <c r="C52">
        <v>-6697.6</v>
      </c>
      <c r="D52" t="s">
        <v>68</v>
      </c>
      <c r="E52" t="s">
        <v>69</v>
      </c>
      <c r="G52" t="s">
        <v>70</v>
      </c>
    </row>
    <row r="53" spans="1:9" x14ac:dyDescent="0.25">
      <c r="A53" s="1">
        <v>45841</v>
      </c>
      <c r="B53" t="s">
        <v>46</v>
      </c>
      <c r="C53">
        <v>-6</v>
      </c>
      <c r="D53" t="s">
        <v>93</v>
      </c>
      <c r="E53" t="s">
        <v>101</v>
      </c>
      <c r="G53" t="s">
        <v>62</v>
      </c>
      <c r="I53" t="s">
        <v>102</v>
      </c>
    </row>
    <row r="54" spans="1:9" x14ac:dyDescent="0.25">
      <c r="A54" s="1">
        <v>45841</v>
      </c>
      <c r="B54" t="s">
        <v>29</v>
      </c>
      <c r="C54">
        <v>-608.11</v>
      </c>
      <c r="D54" t="s">
        <v>10</v>
      </c>
      <c r="E54" s="2" t="s">
        <v>103</v>
      </c>
      <c r="F54" t="s">
        <v>104</v>
      </c>
      <c r="G54" t="s">
        <v>31</v>
      </c>
    </row>
    <row r="55" spans="1:9" x14ac:dyDescent="0.25">
      <c r="A55" s="1">
        <v>45841</v>
      </c>
      <c r="B55" t="s">
        <v>29</v>
      </c>
      <c r="C55">
        <v>-427.39</v>
      </c>
      <c r="D55" t="s">
        <v>10</v>
      </c>
      <c r="E55" s="2" t="s">
        <v>105</v>
      </c>
      <c r="F55" t="s">
        <v>106</v>
      </c>
      <c r="G55" t="s">
        <v>31</v>
      </c>
    </row>
    <row r="56" spans="1:9" x14ac:dyDescent="0.25">
      <c r="A56" s="1">
        <v>45841</v>
      </c>
      <c r="B56" t="s">
        <v>29</v>
      </c>
      <c r="C56">
        <v>6697.6</v>
      </c>
      <c r="D56" t="s">
        <v>47</v>
      </c>
      <c r="E56" t="s">
        <v>71</v>
      </c>
      <c r="G56" t="s">
        <v>400</v>
      </c>
    </row>
    <row r="57" spans="1:9" x14ac:dyDescent="0.25">
      <c r="A57" s="1">
        <v>45841</v>
      </c>
      <c r="B57" t="s">
        <v>29</v>
      </c>
      <c r="C57">
        <v>-496.66</v>
      </c>
      <c r="D57" t="s">
        <v>10</v>
      </c>
      <c r="E57" s="2" t="s">
        <v>107</v>
      </c>
      <c r="F57" t="s">
        <v>108</v>
      </c>
      <c r="G57" t="s">
        <v>31</v>
      </c>
    </row>
    <row r="58" spans="1:9" x14ac:dyDescent="0.25">
      <c r="A58" s="1">
        <v>45841</v>
      </c>
      <c r="B58" t="s">
        <v>29</v>
      </c>
      <c r="C58">
        <v>-613.54999999999995</v>
      </c>
      <c r="D58" t="s">
        <v>10</v>
      </c>
      <c r="E58" s="2" t="s">
        <v>109</v>
      </c>
      <c r="F58" t="s">
        <v>110</v>
      </c>
      <c r="G58" t="s">
        <v>31</v>
      </c>
    </row>
    <row r="59" spans="1:9" x14ac:dyDescent="0.25">
      <c r="A59" s="1">
        <v>45841</v>
      </c>
      <c r="B59" t="s">
        <v>46</v>
      </c>
      <c r="C59">
        <v>-28.68</v>
      </c>
      <c r="D59" t="s">
        <v>10</v>
      </c>
      <c r="E59" t="s">
        <v>111</v>
      </c>
      <c r="G59" t="s">
        <v>57</v>
      </c>
    </row>
    <row r="60" spans="1:9" x14ac:dyDescent="0.25">
      <c r="A60" s="1">
        <v>45841</v>
      </c>
      <c r="B60" t="s">
        <v>29</v>
      </c>
      <c r="C60">
        <v>-427.3</v>
      </c>
      <c r="D60" t="s">
        <v>10</v>
      </c>
      <c r="E60" s="2" t="s">
        <v>112</v>
      </c>
      <c r="F60" t="s">
        <v>113</v>
      </c>
      <c r="G60" t="s">
        <v>31</v>
      </c>
    </row>
    <row r="61" spans="1:9" x14ac:dyDescent="0.25">
      <c r="A61" s="1">
        <v>45841</v>
      </c>
      <c r="B61" t="s">
        <v>29</v>
      </c>
      <c r="C61">
        <v>-570.65</v>
      </c>
      <c r="D61" t="s">
        <v>10</v>
      </c>
      <c r="E61" s="2" t="s">
        <v>114</v>
      </c>
      <c r="F61" t="s">
        <v>115</v>
      </c>
      <c r="G61" t="s">
        <v>31</v>
      </c>
    </row>
    <row r="62" spans="1:9" x14ac:dyDescent="0.25">
      <c r="A62" s="1">
        <v>45841</v>
      </c>
      <c r="B62" t="s">
        <v>29</v>
      </c>
      <c r="C62">
        <v>-499.42</v>
      </c>
      <c r="D62" t="s">
        <v>10</v>
      </c>
      <c r="E62" s="2" t="s">
        <v>116</v>
      </c>
      <c r="F62" t="s">
        <v>117</v>
      </c>
      <c r="G62" t="s">
        <v>31</v>
      </c>
    </row>
    <row r="63" spans="1:9" x14ac:dyDescent="0.25">
      <c r="A63" s="1">
        <v>45841</v>
      </c>
      <c r="B63" t="s">
        <v>29</v>
      </c>
      <c r="C63">
        <v>-499.12</v>
      </c>
      <c r="D63" t="s">
        <v>10</v>
      </c>
      <c r="E63" s="2" t="s">
        <v>118</v>
      </c>
      <c r="F63" t="s">
        <v>119</v>
      </c>
      <c r="G63" t="s">
        <v>31</v>
      </c>
    </row>
    <row r="64" spans="1:9" x14ac:dyDescent="0.25">
      <c r="A64" s="1">
        <v>45841</v>
      </c>
      <c r="B64" t="s">
        <v>29</v>
      </c>
      <c r="C64">
        <v>-629.91999999999996</v>
      </c>
      <c r="D64" t="s">
        <v>10</v>
      </c>
      <c r="E64" s="2" t="s">
        <v>120</v>
      </c>
      <c r="F64" t="s">
        <v>19</v>
      </c>
      <c r="G64" t="s">
        <v>31</v>
      </c>
    </row>
    <row r="65" spans="1:9" x14ac:dyDescent="0.25">
      <c r="A65" s="1">
        <v>45841</v>
      </c>
      <c r="B65" t="s">
        <v>29</v>
      </c>
      <c r="C65">
        <v>-607.66</v>
      </c>
      <c r="D65" t="s">
        <v>10</v>
      </c>
      <c r="E65" s="2" t="s">
        <v>121</v>
      </c>
      <c r="F65" t="s">
        <v>122</v>
      </c>
      <c r="G65" t="s">
        <v>31</v>
      </c>
    </row>
    <row r="66" spans="1:9" x14ac:dyDescent="0.25">
      <c r="A66" s="1">
        <v>45841</v>
      </c>
      <c r="B66" t="s">
        <v>29</v>
      </c>
      <c r="C66">
        <v>-504.82</v>
      </c>
      <c r="D66" t="s">
        <v>10</v>
      </c>
      <c r="E66" s="2" t="s">
        <v>123</v>
      </c>
      <c r="F66" t="s">
        <v>124</v>
      </c>
      <c r="G66" t="s">
        <v>31</v>
      </c>
    </row>
    <row r="67" spans="1:9" x14ac:dyDescent="0.25">
      <c r="A67" s="1">
        <v>45841</v>
      </c>
      <c r="B67" t="s">
        <v>29</v>
      </c>
      <c r="C67">
        <v>-384.99</v>
      </c>
      <c r="D67" t="s">
        <v>10</v>
      </c>
      <c r="E67" s="2" t="s">
        <v>125</v>
      </c>
      <c r="F67" t="s">
        <v>88</v>
      </c>
      <c r="G67" t="s">
        <v>31</v>
      </c>
    </row>
    <row r="68" spans="1:9" x14ac:dyDescent="0.25">
      <c r="A68" s="1">
        <v>45841</v>
      </c>
      <c r="B68" t="s">
        <v>29</v>
      </c>
      <c r="C68">
        <v>-390.06</v>
      </c>
      <c r="D68" t="s">
        <v>10</v>
      </c>
      <c r="E68" s="2" t="s">
        <v>126</v>
      </c>
      <c r="F68" t="s">
        <v>127</v>
      </c>
      <c r="G68" t="s">
        <v>31</v>
      </c>
    </row>
    <row r="69" spans="1:9" x14ac:dyDescent="0.25">
      <c r="A69" s="1">
        <v>45842</v>
      </c>
      <c r="B69" t="s">
        <v>9</v>
      </c>
      <c r="C69">
        <v>-10</v>
      </c>
      <c r="D69" t="s">
        <v>58</v>
      </c>
      <c r="E69" t="s">
        <v>128</v>
      </c>
      <c r="G69" t="s">
        <v>57</v>
      </c>
    </row>
    <row r="70" spans="1:9" x14ac:dyDescent="0.25">
      <c r="A70" s="1">
        <v>45842</v>
      </c>
      <c r="B70" t="s">
        <v>9</v>
      </c>
      <c r="C70">
        <v>-10</v>
      </c>
      <c r="D70" t="s">
        <v>10</v>
      </c>
      <c r="E70" t="s">
        <v>129</v>
      </c>
      <c r="G70" t="s">
        <v>57</v>
      </c>
    </row>
    <row r="71" spans="1:9" x14ac:dyDescent="0.25">
      <c r="A71" s="4">
        <v>45842</v>
      </c>
      <c r="B71" s="3" t="s">
        <v>13</v>
      </c>
      <c r="C71" s="3">
        <f>190+190+445</f>
        <v>825</v>
      </c>
      <c r="D71" s="3" t="s">
        <v>14</v>
      </c>
      <c r="E71" s="3" t="s">
        <v>390</v>
      </c>
      <c r="F71" s="3" t="s">
        <v>130</v>
      </c>
      <c r="G71" s="3" t="s">
        <v>17</v>
      </c>
      <c r="H71" s="3">
        <v>184.99</v>
      </c>
      <c r="I71" s="3"/>
    </row>
    <row r="72" spans="1:9" x14ac:dyDescent="0.25">
      <c r="A72" s="4">
        <v>45842</v>
      </c>
      <c r="B72" s="3" t="s">
        <v>13</v>
      </c>
      <c r="C72" s="3">
        <f>-300-120-136.01-60-24</f>
        <v>-640.01</v>
      </c>
      <c r="D72" s="3" t="s">
        <v>14</v>
      </c>
      <c r="E72" s="3" t="s">
        <v>388</v>
      </c>
      <c r="F72" s="3" t="s">
        <v>130</v>
      </c>
      <c r="G72" s="3" t="s">
        <v>81</v>
      </c>
      <c r="H72" s="3">
        <v>184.99</v>
      </c>
      <c r="I72" s="3"/>
    </row>
    <row r="73" spans="1:9" x14ac:dyDescent="0.25">
      <c r="A73" s="1">
        <v>45842</v>
      </c>
      <c r="B73" t="s">
        <v>13</v>
      </c>
      <c r="C73">
        <v>-18</v>
      </c>
      <c r="D73" t="s">
        <v>24</v>
      </c>
      <c r="E73" t="s">
        <v>131</v>
      </c>
      <c r="F73" t="s">
        <v>106</v>
      </c>
      <c r="G73" t="s">
        <v>81</v>
      </c>
    </row>
    <row r="74" spans="1:9" x14ac:dyDescent="0.25">
      <c r="A74" s="1">
        <v>45842</v>
      </c>
      <c r="B74" t="s">
        <v>13</v>
      </c>
      <c r="C74">
        <v>1000</v>
      </c>
      <c r="D74" t="s">
        <v>14</v>
      </c>
      <c r="E74" t="s">
        <v>132</v>
      </c>
      <c r="F74" t="s">
        <v>133</v>
      </c>
      <c r="G74" t="s">
        <v>17</v>
      </c>
    </row>
    <row r="75" spans="1:9" x14ac:dyDescent="0.25">
      <c r="A75" s="1">
        <v>45843</v>
      </c>
      <c r="B75" t="s">
        <v>13</v>
      </c>
      <c r="C75">
        <v>-32.65</v>
      </c>
      <c r="D75" t="s">
        <v>53</v>
      </c>
      <c r="E75" t="s">
        <v>134</v>
      </c>
      <c r="G75" t="s">
        <v>62</v>
      </c>
      <c r="I75" t="s">
        <v>65</v>
      </c>
    </row>
    <row r="76" spans="1:9" x14ac:dyDescent="0.25">
      <c r="A76" s="1">
        <v>45843</v>
      </c>
      <c r="B76" t="s">
        <v>13</v>
      </c>
      <c r="C76">
        <v>850</v>
      </c>
      <c r="D76" t="s">
        <v>14</v>
      </c>
      <c r="E76" t="s">
        <v>135</v>
      </c>
      <c r="F76" t="s">
        <v>110</v>
      </c>
      <c r="G76" t="s">
        <v>17</v>
      </c>
    </row>
    <row r="77" spans="1:9" x14ac:dyDescent="0.25">
      <c r="A77" s="1">
        <v>45844</v>
      </c>
      <c r="B77" t="s">
        <v>13</v>
      </c>
      <c r="C77">
        <v>-11.35</v>
      </c>
      <c r="D77" t="s">
        <v>24</v>
      </c>
      <c r="E77" t="s">
        <v>78</v>
      </c>
      <c r="G77" t="s">
        <v>62</v>
      </c>
      <c r="I77" t="s">
        <v>79</v>
      </c>
    </row>
    <row r="78" spans="1:9" x14ac:dyDescent="0.25">
      <c r="A78" s="1">
        <v>45844</v>
      </c>
      <c r="B78" t="s">
        <v>13</v>
      </c>
      <c r="C78">
        <v>7.15</v>
      </c>
      <c r="D78" t="s">
        <v>24</v>
      </c>
      <c r="E78" t="s">
        <v>78</v>
      </c>
      <c r="G78" t="s">
        <v>62</v>
      </c>
      <c r="I78" t="s">
        <v>79</v>
      </c>
    </row>
    <row r="79" spans="1:9" x14ac:dyDescent="0.25">
      <c r="A79" s="1">
        <v>45844</v>
      </c>
      <c r="B79" t="s">
        <v>13</v>
      </c>
      <c r="C79">
        <v>-4.5</v>
      </c>
      <c r="D79" t="s">
        <v>24</v>
      </c>
      <c r="E79" t="s">
        <v>78</v>
      </c>
      <c r="G79" t="s">
        <v>62</v>
      </c>
      <c r="I79" t="s">
        <v>79</v>
      </c>
    </row>
    <row r="80" spans="1:9" x14ac:dyDescent="0.25">
      <c r="A80" s="1">
        <v>45845</v>
      </c>
      <c r="B80" t="s">
        <v>13</v>
      </c>
      <c r="C80">
        <v>825</v>
      </c>
      <c r="D80" t="s">
        <v>14</v>
      </c>
      <c r="E80" t="s">
        <v>136</v>
      </c>
      <c r="F80" t="s">
        <v>137</v>
      </c>
      <c r="G80" t="s">
        <v>17</v>
      </c>
    </row>
    <row r="81" spans="1:9" x14ac:dyDescent="0.25">
      <c r="A81" s="1">
        <v>45845</v>
      </c>
      <c r="B81" t="s">
        <v>13</v>
      </c>
      <c r="C81">
        <v>750</v>
      </c>
      <c r="D81" t="s">
        <v>14</v>
      </c>
      <c r="E81" t="s">
        <v>138</v>
      </c>
      <c r="F81" t="s">
        <v>139</v>
      </c>
      <c r="G81" t="s">
        <v>17</v>
      </c>
    </row>
    <row r="82" spans="1:9" x14ac:dyDescent="0.25">
      <c r="A82" s="1">
        <v>45845</v>
      </c>
      <c r="B82" t="s">
        <v>13</v>
      </c>
      <c r="C82">
        <v>-15.55</v>
      </c>
      <c r="D82" t="s">
        <v>24</v>
      </c>
      <c r="E82" t="s">
        <v>78</v>
      </c>
      <c r="G82" t="s">
        <v>62</v>
      </c>
      <c r="I82" t="s">
        <v>79</v>
      </c>
    </row>
    <row r="83" spans="1:9" x14ac:dyDescent="0.25">
      <c r="A83" s="1">
        <v>45845</v>
      </c>
      <c r="B83" t="s">
        <v>46</v>
      </c>
      <c r="C83">
        <v>-14.06</v>
      </c>
      <c r="D83" t="s">
        <v>140</v>
      </c>
      <c r="E83" t="s">
        <v>141</v>
      </c>
      <c r="G83" t="s">
        <v>62</v>
      </c>
      <c r="I83" t="s">
        <v>142</v>
      </c>
    </row>
    <row r="84" spans="1:9" x14ac:dyDescent="0.25">
      <c r="A84" s="1">
        <v>45845</v>
      </c>
      <c r="B84" t="s">
        <v>46</v>
      </c>
      <c r="C84">
        <v>-2.4</v>
      </c>
      <c r="D84" t="s">
        <v>140</v>
      </c>
      <c r="E84" t="s">
        <v>143</v>
      </c>
      <c r="G84" t="s">
        <v>62</v>
      </c>
      <c r="I84" t="s">
        <v>79</v>
      </c>
    </row>
    <row r="85" spans="1:9" x14ac:dyDescent="0.25">
      <c r="A85" s="1">
        <v>45845</v>
      </c>
      <c r="B85" t="s">
        <v>13</v>
      </c>
      <c r="C85">
        <v>-75</v>
      </c>
      <c r="D85" t="s">
        <v>24</v>
      </c>
      <c r="E85" t="s">
        <v>144</v>
      </c>
      <c r="F85" t="s">
        <v>106</v>
      </c>
      <c r="G85" t="s">
        <v>81</v>
      </c>
    </row>
    <row r="86" spans="1:9" x14ac:dyDescent="0.25">
      <c r="A86" s="1">
        <v>45846</v>
      </c>
      <c r="B86" t="s">
        <v>13</v>
      </c>
      <c r="C86">
        <v>-74.260000000000005</v>
      </c>
      <c r="D86" t="s">
        <v>75</v>
      </c>
      <c r="E86" t="s">
        <v>145</v>
      </c>
      <c r="G86" t="s">
        <v>62</v>
      </c>
      <c r="I86" t="s">
        <v>142</v>
      </c>
    </row>
    <row r="87" spans="1:9" x14ac:dyDescent="0.25">
      <c r="A87" s="1">
        <v>45846</v>
      </c>
      <c r="B87" t="s">
        <v>13</v>
      </c>
      <c r="C87">
        <v>-3</v>
      </c>
      <c r="D87" t="s">
        <v>75</v>
      </c>
      <c r="E87" t="s">
        <v>146</v>
      </c>
      <c r="G87" t="s">
        <v>62</v>
      </c>
      <c r="I87" t="s">
        <v>83</v>
      </c>
    </row>
    <row r="88" spans="1:9" x14ac:dyDescent="0.25">
      <c r="A88" s="1">
        <v>45846</v>
      </c>
      <c r="B88" t="s">
        <v>13</v>
      </c>
      <c r="C88">
        <v>-67.680000000000007</v>
      </c>
      <c r="D88" t="s">
        <v>75</v>
      </c>
      <c r="E88" t="s">
        <v>146</v>
      </c>
      <c r="G88" t="s">
        <v>62</v>
      </c>
      <c r="I88" t="s">
        <v>83</v>
      </c>
    </row>
    <row r="89" spans="1:9" x14ac:dyDescent="0.25">
      <c r="A89" s="1">
        <v>45846</v>
      </c>
      <c r="B89" t="s">
        <v>13</v>
      </c>
      <c r="C89">
        <v>-5.5</v>
      </c>
      <c r="D89" t="s">
        <v>75</v>
      </c>
      <c r="E89" t="s">
        <v>147</v>
      </c>
      <c r="G89" t="s">
        <v>62</v>
      </c>
      <c r="I89" t="s">
        <v>148</v>
      </c>
    </row>
    <row r="90" spans="1:9" x14ac:dyDescent="0.25">
      <c r="A90" s="1">
        <v>45846</v>
      </c>
      <c r="B90" t="s">
        <v>13</v>
      </c>
      <c r="C90">
        <v>-20.75</v>
      </c>
      <c r="D90" t="s">
        <v>149</v>
      </c>
      <c r="E90" t="s">
        <v>150</v>
      </c>
      <c r="G90" t="s">
        <v>62</v>
      </c>
      <c r="I90" t="s">
        <v>95</v>
      </c>
    </row>
    <row r="91" spans="1:9" x14ac:dyDescent="0.25">
      <c r="A91" s="1">
        <v>45846</v>
      </c>
      <c r="B91" t="s">
        <v>9</v>
      </c>
      <c r="C91">
        <v>1000</v>
      </c>
      <c r="D91" t="s">
        <v>47</v>
      </c>
      <c r="E91" t="s">
        <v>151</v>
      </c>
      <c r="G91" t="s">
        <v>399</v>
      </c>
    </row>
    <row r="92" spans="1:9" x14ac:dyDescent="0.25">
      <c r="A92" s="1">
        <v>45846</v>
      </c>
      <c r="B92" t="s">
        <v>9</v>
      </c>
      <c r="C92">
        <v>-15</v>
      </c>
      <c r="D92" t="s">
        <v>93</v>
      </c>
      <c r="E92" t="s">
        <v>152</v>
      </c>
      <c r="G92" t="s">
        <v>62</v>
      </c>
      <c r="I92" t="s">
        <v>95</v>
      </c>
    </row>
    <row r="93" spans="1:9" x14ac:dyDescent="0.25">
      <c r="A93" s="1">
        <v>45846</v>
      </c>
      <c r="B93" t="s">
        <v>13</v>
      </c>
      <c r="C93">
        <v>-16.649999999999999</v>
      </c>
      <c r="D93" t="s">
        <v>75</v>
      </c>
      <c r="E93" t="s">
        <v>153</v>
      </c>
      <c r="G93" t="s">
        <v>62</v>
      </c>
      <c r="I93" t="s">
        <v>154</v>
      </c>
    </row>
    <row r="94" spans="1:9" x14ac:dyDescent="0.25">
      <c r="A94" s="1">
        <v>45846</v>
      </c>
      <c r="B94" t="s">
        <v>29</v>
      </c>
      <c r="C94">
        <v>-557.12</v>
      </c>
      <c r="D94" t="s">
        <v>10</v>
      </c>
      <c r="E94" s="2" t="s">
        <v>155</v>
      </c>
      <c r="F94" t="s">
        <v>156</v>
      </c>
      <c r="G94" t="s">
        <v>31</v>
      </c>
    </row>
    <row r="95" spans="1:9" x14ac:dyDescent="0.25">
      <c r="A95" s="4">
        <v>45847</v>
      </c>
      <c r="B95" s="3" t="s">
        <v>13</v>
      </c>
      <c r="C95" s="3">
        <f>219+5481</f>
        <v>5700</v>
      </c>
      <c r="D95" s="3" t="s">
        <v>14</v>
      </c>
      <c r="E95" s="3" t="s">
        <v>391</v>
      </c>
      <c r="F95" s="3" t="s">
        <v>104</v>
      </c>
      <c r="G95" s="3" t="s">
        <v>17</v>
      </c>
      <c r="H95" s="3">
        <v>5059.99</v>
      </c>
      <c r="I95" s="3"/>
    </row>
    <row r="96" spans="1:9" x14ac:dyDescent="0.25">
      <c r="A96" s="4">
        <v>45847</v>
      </c>
      <c r="B96" s="3" t="s">
        <v>13</v>
      </c>
      <c r="C96" s="3">
        <f>-300-120-136.01-60-24</f>
        <v>-640.01</v>
      </c>
      <c r="D96" s="3" t="s">
        <v>14</v>
      </c>
      <c r="E96" s="3" t="s">
        <v>388</v>
      </c>
      <c r="F96" s="3" t="s">
        <v>104</v>
      </c>
      <c r="G96" s="3" t="s">
        <v>81</v>
      </c>
      <c r="H96" s="3">
        <v>5059.99</v>
      </c>
      <c r="I96" s="3"/>
    </row>
    <row r="97" spans="1:9" x14ac:dyDescent="0.25">
      <c r="A97" s="1">
        <v>45847</v>
      </c>
      <c r="B97" t="s">
        <v>29</v>
      </c>
      <c r="C97">
        <v>-51.1</v>
      </c>
      <c r="D97" t="s">
        <v>10</v>
      </c>
      <c r="E97" s="2" t="s">
        <v>157</v>
      </c>
      <c r="F97" t="s">
        <v>130</v>
      </c>
      <c r="G97" t="s">
        <v>31</v>
      </c>
    </row>
    <row r="98" spans="1:9" x14ac:dyDescent="0.25">
      <c r="A98" s="1">
        <v>45847</v>
      </c>
      <c r="B98" t="s">
        <v>46</v>
      </c>
      <c r="C98">
        <v>-8</v>
      </c>
      <c r="D98" t="s">
        <v>10</v>
      </c>
      <c r="E98" t="s">
        <v>158</v>
      </c>
      <c r="G98" t="s">
        <v>57</v>
      </c>
    </row>
    <row r="99" spans="1:9" x14ac:dyDescent="0.25">
      <c r="A99" s="1">
        <v>45848</v>
      </c>
      <c r="B99" t="s">
        <v>29</v>
      </c>
      <c r="C99">
        <v>-393.61</v>
      </c>
      <c r="D99" t="s">
        <v>10</v>
      </c>
      <c r="E99" s="2" t="s">
        <v>159</v>
      </c>
      <c r="F99" t="s">
        <v>160</v>
      </c>
      <c r="G99" t="s">
        <v>31</v>
      </c>
    </row>
    <row r="100" spans="1:9" x14ac:dyDescent="0.25">
      <c r="A100" s="1">
        <v>45848</v>
      </c>
      <c r="B100" t="s">
        <v>13</v>
      </c>
      <c r="C100">
        <v>807.6</v>
      </c>
      <c r="D100" t="s">
        <v>14</v>
      </c>
      <c r="E100" t="s">
        <v>161</v>
      </c>
      <c r="F100" t="s">
        <v>115</v>
      </c>
      <c r="G100" t="s">
        <v>398</v>
      </c>
    </row>
    <row r="101" spans="1:9" x14ac:dyDescent="0.25">
      <c r="A101" s="1">
        <v>45848</v>
      </c>
      <c r="B101" t="s">
        <v>13</v>
      </c>
      <c r="C101">
        <v>-1096</v>
      </c>
      <c r="D101" t="s">
        <v>162</v>
      </c>
      <c r="E101" s="2" t="s">
        <v>163</v>
      </c>
      <c r="G101" t="s">
        <v>164</v>
      </c>
    </row>
    <row r="102" spans="1:9" x14ac:dyDescent="0.25">
      <c r="A102" s="1">
        <v>45848</v>
      </c>
      <c r="B102" t="s">
        <v>13</v>
      </c>
      <c r="C102">
        <v>-951</v>
      </c>
      <c r="D102" t="s">
        <v>162</v>
      </c>
      <c r="E102" s="2" t="s">
        <v>165</v>
      </c>
      <c r="F102" t="s">
        <v>130</v>
      </c>
      <c r="G102" t="s">
        <v>164</v>
      </c>
    </row>
    <row r="103" spans="1:9" x14ac:dyDescent="0.25">
      <c r="A103" s="1">
        <v>45848</v>
      </c>
      <c r="B103" t="s">
        <v>13</v>
      </c>
      <c r="C103">
        <v>-13</v>
      </c>
      <c r="D103" t="s">
        <v>24</v>
      </c>
      <c r="E103" t="s">
        <v>78</v>
      </c>
      <c r="G103" t="s">
        <v>62</v>
      </c>
      <c r="I103" t="s">
        <v>79</v>
      </c>
    </row>
    <row r="104" spans="1:9" x14ac:dyDescent="0.25">
      <c r="A104" s="1">
        <v>45848</v>
      </c>
      <c r="B104" t="s">
        <v>13</v>
      </c>
      <c r="C104">
        <v>-18.39</v>
      </c>
      <c r="D104" t="s">
        <v>24</v>
      </c>
      <c r="E104" t="s">
        <v>78</v>
      </c>
      <c r="G104" t="s">
        <v>62</v>
      </c>
      <c r="I104" t="s">
        <v>79</v>
      </c>
    </row>
    <row r="105" spans="1:9" x14ac:dyDescent="0.25">
      <c r="A105" s="1">
        <v>45848</v>
      </c>
      <c r="B105" t="s">
        <v>46</v>
      </c>
      <c r="C105">
        <v>-10</v>
      </c>
      <c r="D105" t="s">
        <v>93</v>
      </c>
      <c r="E105" t="s">
        <v>94</v>
      </c>
      <c r="G105" t="s">
        <v>62</v>
      </c>
      <c r="I105" t="s">
        <v>95</v>
      </c>
    </row>
    <row r="106" spans="1:9" x14ac:dyDescent="0.25">
      <c r="A106" s="1">
        <v>45849</v>
      </c>
      <c r="B106" t="s">
        <v>13</v>
      </c>
      <c r="C106">
        <v>-10.6</v>
      </c>
      <c r="D106" t="s">
        <v>24</v>
      </c>
      <c r="E106" t="s">
        <v>78</v>
      </c>
      <c r="G106" t="s">
        <v>62</v>
      </c>
      <c r="I106" t="s">
        <v>79</v>
      </c>
    </row>
    <row r="107" spans="1:9" x14ac:dyDescent="0.25">
      <c r="A107" s="1">
        <v>45849</v>
      </c>
      <c r="B107" t="s">
        <v>46</v>
      </c>
      <c r="C107">
        <v>-10</v>
      </c>
      <c r="D107" t="s">
        <v>93</v>
      </c>
      <c r="E107" t="s">
        <v>166</v>
      </c>
      <c r="G107" t="s">
        <v>62</v>
      </c>
      <c r="I107" t="s">
        <v>95</v>
      </c>
    </row>
    <row r="108" spans="1:9" x14ac:dyDescent="0.25">
      <c r="A108" s="1">
        <v>45849</v>
      </c>
      <c r="B108" t="s">
        <v>46</v>
      </c>
      <c r="C108">
        <v>100</v>
      </c>
      <c r="D108" t="s">
        <v>47</v>
      </c>
      <c r="E108" t="s">
        <v>167</v>
      </c>
      <c r="G108" t="s">
        <v>400</v>
      </c>
    </row>
    <row r="109" spans="1:9" x14ac:dyDescent="0.25">
      <c r="A109" s="1">
        <v>45849</v>
      </c>
      <c r="B109" t="s">
        <v>13</v>
      </c>
      <c r="C109">
        <v>-75</v>
      </c>
      <c r="D109" t="s">
        <v>24</v>
      </c>
      <c r="E109" t="s">
        <v>168</v>
      </c>
      <c r="F109" t="s">
        <v>45</v>
      </c>
      <c r="G109" t="s">
        <v>81</v>
      </c>
    </row>
    <row r="110" spans="1:9" x14ac:dyDescent="0.25">
      <c r="A110" s="1">
        <v>45849</v>
      </c>
      <c r="B110" t="s">
        <v>13</v>
      </c>
      <c r="C110">
        <v>-100</v>
      </c>
      <c r="D110" t="s">
        <v>24</v>
      </c>
      <c r="E110" t="s">
        <v>169</v>
      </c>
      <c r="G110" t="s">
        <v>62</v>
      </c>
      <c r="I110" t="s">
        <v>170</v>
      </c>
    </row>
    <row r="111" spans="1:9" x14ac:dyDescent="0.25">
      <c r="A111" s="1">
        <v>45849</v>
      </c>
      <c r="B111" t="s">
        <v>13</v>
      </c>
      <c r="C111">
        <v>900</v>
      </c>
      <c r="D111" t="s">
        <v>14</v>
      </c>
      <c r="E111" t="s">
        <v>171</v>
      </c>
      <c r="F111" t="s">
        <v>127</v>
      </c>
      <c r="G111" t="s">
        <v>17</v>
      </c>
    </row>
    <row r="112" spans="1:9" x14ac:dyDescent="0.25">
      <c r="A112" s="1">
        <v>45849</v>
      </c>
      <c r="B112" t="s">
        <v>13</v>
      </c>
      <c r="C112">
        <v>-61.77</v>
      </c>
      <c r="D112" t="s">
        <v>172</v>
      </c>
      <c r="E112" t="s">
        <v>173</v>
      </c>
      <c r="G112" t="s">
        <v>62</v>
      </c>
      <c r="I112" s="6" t="s">
        <v>218</v>
      </c>
    </row>
    <row r="113" spans="1:9" x14ac:dyDescent="0.25">
      <c r="A113" s="1">
        <v>45849</v>
      </c>
      <c r="B113" t="s">
        <v>29</v>
      </c>
      <c r="C113">
        <v>-565</v>
      </c>
      <c r="D113" t="s">
        <v>174</v>
      </c>
      <c r="E113" s="5" t="s">
        <v>175</v>
      </c>
      <c r="F113" s="5"/>
      <c r="G113" t="s">
        <v>164</v>
      </c>
    </row>
    <row r="114" spans="1:9" x14ac:dyDescent="0.25">
      <c r="A114" s="1">
        <v>45849</v>
      </c>
      <c r="B114" t="s">
        <v>13</v>
      </c>
      <c r="C114">
        <v>-47.62</v>
      </c>
      <c r="D114" t="s">
        <v>75</v>
      </c>
      <c r="E114" t="s">
        <v>153</v>
      </c>
      <c r="G114" t="s">
        <v>62</v>
      </c>
      <c r="I114" t="s">
        <v>154</v>
      </c>
    </row>
    <row r="115" spans="1:9" x14ac:dyDescent="0.25">
      <c r="A115" s="1">
        <v>45850</v>
      </c>
      <c r="B115" t="s">
        <v>13</v>
      </c>
      <c r="C115">
        <v>-23.27</v>
      </c>
      <c r="D115" t="s">
        <v>72</v>
      </c>
      <c r="E115" t="s">
        <v>89</v>
      </c>
      <c r="G115" t="s">
        <v>62</v>
      </c>
      <c r="I115" t="s">
        <v>74</v>
      </c>
    </row>
    <row r="116" spans="1:9" x14ac:dyDescent="0.25">
      <c r="A116" s="1">
        <v>45850</v>
      </c>
      <c r="B116" t="s">
        <v>13</v>
      </c>
      <c r="C116">
        <v>-4</v>
      </c>
      <c r="D116" t="s">
        <v>99</v>
      </c>
      <c r="E116" t="s">
        <v>176</v>
      </c>
      <c r="G116" t="s">
        <v>62</v>
      </c>
      <c r="I116" t="s">
        <v>65</v>
      </c>
    </row>
    <row r="117" spans="1:9" x14ac:dyDescent="0.25">
      <c r="A117" s="1">
        <v>45850</v>
      </c>
      <c r="B117" t="s">
        <v>13</v>
      </c>
      <c r="C117">
        <v>-42.03</v>
      </c>
      <c r="D117" t="s">
        <v>75</v>
      </c>
      <c r="E117" t="s">
        <v>153</v>
      </c>
      <c r="G117" t="s">
        <v>62</v>
      </c>
      <c r="I117" t="s">
        <v>154</v>
      </c>
    </row>
    <row r="118" spans="1:9" x14ac:dyDescent="0.25">
      <c r="A118" s="1">
        <v>45850</v>
      </c>
      <c r="B118" t="s">
        <v>13</v>
      </c>
      <c r="C118">
        <v>-24.95</v>
      </c>
      <c r="D118" t="s">
        <v>24</v>
      </c>
      <c r="E118" t="s">
        <v>78</v>
      </c>
      <c r="G118" t="s">
        <v>62</v>
      </c>
      <c r="I118" t="s">
        <v>79</v>
      </c>
    </row>
    <row r="119" spans="1:9" x14ac:dyDescent="0.25">
      <c r="A119" s="1">
        <v>45850</v>
      </c>
      <c r="B119" t="s">
        <v>13</v>
      </c>
      <c r="C119">
        <v>-1000</v>
      </c>
      <c r="D119" t="s">
        <v>172</v>
      </c>
      <c r="E119" t="s">
        <v>177</v>
      </c>
      <c r="F119" t="s">
        <v>402</v>
      </c>
      <c r="G119" t="s">
        <v>392</v>
      </c>
      <c r="I119" t="s">
        <v>393</v>
      </c>
    </row>
    <row r="120" spans="1:9" x14ac:dyDescent="0.25">
      <c r="A120" s="1">
        <v>45850</v>
      </c>
      <c r="B120" t="s">
        <v>13</v>
      </c>
      <c r="C120">
        <v>-1566.83</v>
      </c>
      <c r="D120" t="s">
        <v>68</v>
      </c>
      <c r="E120" t="s">
        <v>69</v>
      </c>
      <c r="G120" t="s">
        <v>70</v>
      </c>
    </row>
    <row r="121" spans="1:9" x14ac:dyDescent="0.25">
      <c r="A121" s="1">
        <v>45851</v>
      </c>
      <c r="B121" t="s">
        <v>13</v>
      </c>
      <c r="C121">
        <v>-89.78</v>
      </c>
      <c r="D121" t="s">
        <v>72</v>
      </c>
      <c r="E121" t="s">
        <v>178</v>
      </c>
      <c r="G121" t="s">
        <v>62</v>
      </c>
      <c r="I121" t="s">
        <v>74</v>
      </c>
    </row>
    <row r="122" spans="1:9" x14ac:dyDescent="0.25">
      <c r="A122" s="1">
        <v>45851</v>
      </c>
      <c r="B122" t="s">
        <v>13</v>
      </c>
      <c r="C122">
        <v>-52.96</v>
      </c>
      <c r="D122" t="s">
        <v>172</v>
      </c>
      <c r="E122" t="s">
        <v>179</v>
      </c>
      <c r="G122" t="s">
        <v>62</v>
      </c>
      <c r="I122" t="s">
        <v>180</v>
      </c>
    </row>
    <row r="123" spans="1:9" x14ac:dyDescent="0.25">
      <c r="A123" s="1">
        <v>45851</v>
      </c>
      <c r="B123" t="s">
        <v>13</v>
      </c>
      <c r="C123">
        <v>-51.59</v>
      </c>
      <c r="D123" t="s">
        <v>75</v>
      </c>
      <c r="E123" t="s">
        <v>181</v>
      </c>
      <c r="G123" t="s">
        <v>62</v>
      </c>
      <c r="I123" t="s">
        <v>182</v>
      </c>
    </row>
    <row r="124" spans="1:9" x14ac:dyDescent="0.25">
      <c r="A124" s="1">
        <v>45851</v>
      </c>
      <c r="B124" t="s">
        <v>13</v>
      </c>
      <c r="C124">
        <v>-4.4000000000000004</v>
      </c>
      <c r="D124" t="s">
        <v>75</v>
      </c>
      <c r="E124" t="s">
        <v>183</v>
      </c>
      <c r="G124" t="s">
        <v>62</v>
      </c>
      <c r="I124" t="s">
        <v>184</v>
      </c>
    </row>
    <row r="125" spans="1:9" x14ac:dyDescent="0.25">
      <c r="A125" s="1">
        <v>45851</v>
      </c>
      <c r="B125" t="s">
        <v>13</v>
      </c>
      <c r="C125">
        <v>825</v>
      </c>
      <c r="D125" t="s">
        <v>14</v>
      </c>
      <c r="E125" t="s">
        <v>185</v>
      </c>
      <c r="F125" t="s">
        <v>186</v>
      </c>
      <c r="G125" t="s">
        <v>17</v>
      </c>
    </row>
    <row r="126" spans="1:9" x14ac:dyDescent="0.25">
      <c r="A126" s="1">
        <v>45852</v>
      </c>
      <c r="B126" t="s">
        <v>29</v>
      </c>
      <c r="C126">
        <v>1566.83</v>
      </c>
      <c r="D126" t="s">
        <v>47</v>
      </c>
      <c r="E126" t="s">
        <v>71</v>
      </c>
      <c r="G126" t="s">
        <v>400</v>
      </c>
    </row>
    <row r="127" spans="1:9" x14ac:dyDescent="0.25">
      <c r="A127" s="1">
        <v>45852</v>
      </c>
      <c r="B127" t="s">
        <v>29</v>
      </c>
      <c r="C127">
        <v>-359.2</v>
      </c>
      <c r="D127" t="s">
        <v>10</v>
      </c>
      <c r="E127" s="2" t="s">
        <v>187</v>
      </c>
      <c r="F127" t="s">
        <v>130</v>
      </c>
      <c r="G127" t="s">
        <v>31</v>
      </c>
    </row>
    <row r="128" spans="1:9" x14ac:dyDescent="0.25">
      <c r="A128" s="1">
        <v>45852</v>
      </c>
      <c r="B128" t="s">
        <v>29</v>
      </c>
      <c r="C128">
        <v>-37.68</v>
      </c>
      <c r="D128" t="s">
        <v>10</v>
      </c>
      <c r="E128" t="s">
        <v>188</v>
      </c>
      <c r="G128" t="s">
        <v>57</v>
      </c>
    </row>
    <row r="129" spans="1:9" x14ac:dyDescent="0.25">
      <c r="A129" s="1">
        <v>45852</v>
      </c>
      <c r="B129" t="s">
        <v>9</v>
      </c>
      <c r="C129">
        <v>-19.989999999999998</v>
      </c>
      <c r="D129" t="s">
        <v>60</v>
      </c>
      <c r="E129" t="s">
        <v>189</v>
      </c>
      <c r="G129" t="s">
        <v>57</v>
      </c>
    </row>
    <row r="130" spans="1:9" x14ac:dyDescent="0.25">
      <c r="A130" s="1">
        <v>45852</v>
      </c>
      <c r="B130" t="s">
        <v>9</v>
      </c>
      <c r="C130">
        <v>-15</v>
      </c>
      <c r="D130" t="s">
        <v>93</v>
      </c>
      <c r="E130" t="s">
        <v>190</v>
      </c>
      <c r="G130" t="s">
        <v>62</v>
      </c>
      <c r="I130" t="s">
        <v>102</v>
      </c>
    </row>
    <row r="131" spans="1:9" x14ac:dyDescent="0.25">
      <c r="A131" s="1">
        <v>45852</v>
      </c>
      <c r="B131" t="s">
        <v>29</v>
      </c>
      <c r="C131">
        <v>396.88</v>
      </c>
      <c r="D131" t="s">
        <v>47</v>
      </c>
      <c r="E131" t="s">
        <v>71</v>
      </c>
      <c r="G131" t="s">
        <v>400</v>
      </c>
    </row>
    <row r="132" spans="1:9" x14ac:dyDescent="0.25">
      <c r="A132" s="1">
        <v>45852</v>
      </c>
      <c r="B132" t="s">
        <v>13</v>
      </c>
      <c r="C132">
        <v>-17.45</v>
      </c>
      <c r="D132" t="s">
        <v>75</v>
      </c>
      <c r="E132" t="s">
        <v>191</v>
      </c>
      <c r="G132" t="s">
        <v>62</v>
      </c>
      <c r="I132" t="s">
        <v>394</v>
      </c>
    </row>
    <row r="133" spans="1:9" x14ac:dyDescent="0.25">
      <c r="A133" s="1">
        <v>45852</v>
      </c>
      <c r="B133" t="s">
        <v>9</v>
      </c>
      <c r="C133">
        <v>-5</v>
      </c>
      <c r="D133" t="s">
        <v>93</v>
      </c>
      <c r="E133" t="s">
        <v>192</v>
      </c>
      <c r="G133" t="s">
        <v>62</v>
      </c>
      <c r="I133" t="s">
        <v>102</v>
      </c>
    </row>
    <row r="134" spans="1:9" x14ac:dyDescent="0.25">
      <c r="A134" s="1">
        <v>45852</v>
      </c>
      <c r="B134" t="s">
        <v>13</v>
      </c>
      <c r="C134">
        <v>-396.88</v>
      </c>
      <c r="D134" t="s">
        <v>68</v>
      </c>
      <c r="E134" t="s">
        <v>69</v>
      </c>
      <c r="G134" t="s">
        <v>70</v>
      </c>
    </row>
    <row r="135" spans="1:9" x14ac:dyDescent="0.25">
      <c r="A135" s="1">
        <v>45852</v>
      </c>
      <c r="B135" t="s">
        <v>13</v>
      </c>
      <c r="C135">
        <v>800</v>
      </c>
      <c r="D135" t="s">
        <v>14</v>
      </c>
      <c r="E135" t="s">
        <v>193</v>
      </c>
      <c r="F135" t="s">
        <v>194</v>
      </c>
      <c r="G135" t="s">
        <v>17</v>
      </c>
    </row>
    <row r="136" spans="1:9" x14ac:dyDescent="0.25">
      <c r="A136" s="1">
        <v>45852</v>
      </c>
      <c r="B136" t="s">
        <v>13</v>
      </c>
      <c r="C136">
        <v>850</v>
      </c>
      <c r="D136" t="s">
        <v>14</v>
      </c>
      <c r="E136" t="s">
        <v>195</v>
      </c>
      <c r="F136" t="s">
        <v>196</v>
      </c>
      <c r="G136" t="s">
        <v>17</v>
      </c>
    </row>
    <row r="137" spans="1:9" x14ac:dyDescent="0.25">
      <c r="A137" s="1">
        <v>45852</v>
      </c>
      <c r="B137" t="s">
        <v>13</v>
      </c>
      <c r="C137">
        <v>-5</v>
      </c>
      <c r="D137" t="s">
        <v>24</v>
      </c>
      <c r="E137" t="s">
        <v>197</v>
      </c>
      <c r="F137" t="s">
        <v>127</v>
      </c>
      <c r="G137" t="s">
        <v>81</v>
      </c>
    </row>
    <row r="138" spans="1:9" x14ac:dyDescent="0.25">
      <c r="A138" s="1">
        <v>45853</v>
      </c>
      <c r="B138" t="s">
        <v>29</v>
      </c>
      <c r="C138">
        <v>-516.47</v>
      </c>
      <c r="D138" t="s">
        <v>10</v>
      </c>
      <c r="E138" s="2" t="s">
        <v>198</v>
      </c>
      <c r="F138" t="s">
        <v>186</v>
      </c>
      <c r="G138" t="s">
        <v>31</v>
      </c>
    </row>
    <row r="139" spans="1:9" x14ac:dyDescent="0.25">
      <c r="A139" s="1">
        <v>45853</v>
      </c>
      <c r="B139" t="s">
        <v>29</v>
      </c>
      <c r="C139">
        <v>5023.76</v>
      </c>
      <c r="D139" t="s">
        <v>47</v>
      </c>
      <c r="E139" t="s">
        <v>71</v>
      </c>
      <c r="G139" t="s">
        <v>400</v>
      </c>
    </row>
    <row r="140" spans="1:9" x14ac:dyDescent="0.25">
      <c r="A140" s="1">
        <v>45853</v>
      </c>
      <c r="B140" t="s">
        <v>29</v>
      </c>
      <c r="C140">
        <v>-499.05</v>
      </c>
      <c r="D140" t="s">
        <v>10</v>
      </c>
      <c r="E140" s="2" t="s">
        <v>199</v>
      </c>
      <c r="F140" t="s">
        <v>91</v>
      </c>
      <c r="G140" t="s">
        <v>31</v>
      </c>
    </row>
    <row r="141" spans="1:9" x14ac:dyDescent="0.25">
      <c r="A141" s="1">
        <v>45853</v>
      </c>
      <c r="B141" t="s">
        <v>29</v>
      </c>
      <c r="C141">
        <v>-516.47</v>
      </c>
      <c r="D141" t="s">
        <v>10</v>
      </c>
      <c r="E141" s="2" t="s">
        <v>200</v>
      </c>
      <c r="F141" t="s">
        <v>201</v>
      </c>
      <c r="G141" t="s">
        <v>31</v>
      </c>
    </row>
    <row r="142" spans="1:9" x14ac:dyDescent="0.25">
      <c r="A142" s="1">
        <v>45853</v>
      </c>
      <c r="B142" t="s">
        <v>29</v>
      </c>
      <c r="C142">
        <v>-499.15</v>
      </c>
      <c r="D142" t="s">
        <v>10</v>
      </c>
      <c r="E142" s="2" t="s">
        <v>202</v>
      </c>
      <c r="F142" t="s">
        <v>203</v>
      </c>
      <c r="G142" t="s">
        <v>31</v>
      </c>
    </row>
    <row r="143" spans="1:9" x14ac:dyDescent="0.25">
      <c r="A143" s="1">
        <v>45853</v>
      </c>
      <c r="B143" t="s">
        <v>29</v>
      </c>
      <c r="C143">
        <v>-499.23</v>
      </c>
      <c r="D143" t="s">
        <v>10</v>
      </c>
      <c r="E143" s="2" t="s">
        <v>204</v>
      </c>
      <c r="F143" t="s">
        <v>205</v>
      </c>
      <c r="G143" t="s">
        <v>31</v>
      </c>
    </row>
    <row r="144" spans="1:9" x14ac:dyDescent="0.25">
      <c r="A144" s="1">
        <v>45853</v>
      </c>
      <c r="B144" t="s">
        <v>29</v>
      </c>
      <c r="C144">
        <v>-499.13</v>
      </c>
      <c r="D144" t="s">
        <v>10</v>
      </c>
      <c r="E144" s="2" t="s">
        <v>206</v>
      </c>
      <c r="F144" t="s">
        <v>194</v>
      </c>
      <c r="G144" t="s">
        <v>31</v>
      </c>
    </row>
    <row r="145" spans="1:9" x14ac:dyDescent="0.25">
      <c r="A145" s="1">
        <v>45853</v>
      </c>
      <c r="B145" t="s">
        <v>29</v>
      </c>
      <c r="C145">
        <v>-468.87</v>
      </c>
      <c r="D145" t="s">
        <v>10</v>
      </c>
      <c r="E145" s="2" t="s">
        <v>207</v>
      </c>
      <c r="F145" t="s">
        <v>208</v>
      </c>
      <c r="G145" t="s">
        <v>31</v>
      </c>
    </row>
    <row r="146" spans="1:9" x14ac:dyDescent="0.25">
      <c r="A146" s="1">
        <v>45853</v>
      </c>
      <c r="B146" t="s">
        <v>29</v>
      </c>
      <c r="C146">
        <v>-468.87</v>
      </c>
      <c r="D146" t="s">
        <v>10</v>
      </c>
      <c r="E146" s="2" t="s">
        <v>209</v>
      </c>
      <c r="F146" t="s">
        <v>196</v>
      </c>
      <c r="G146" t="s">
        <v>31</v>
      </c>
    </row>
    <row r="147" spans="1:9" x14ac:dyDescent="0.25">
      <c r="A147" s="1">
        <v>45853</v>
      </c>
      <c r="B147" t="s">
        <v>29</v>
      </c>
      <c r="C147">
        <v>-557.47</v>
      </c>
      <c r="D147" t="s">
        <v>10</v>
      </c>
      <c r="E147" s="2" t="s">
        <v>210</v>
      </c>
      <c r="F147" t="s">
        <v>211</v>
      </c>
      <c r="G147" t="s">
        <v>31</v>
      </c>
    </row>
    <row r="148" spans="1:9" x14ac:dyDescent="0.25">
      <c r="A148" s="1">
        <v>45853</v>
      </c>
      <c r="B148" t="s">
        <v>13</v>
      </c>
      <c r="C148">
        <v>-4.5</v>
      </c>
      <c r="D148" t="s">
        <v>149</v>
      </c>
      <c r="E148" t="s">
        <v>212</v>
      </c>
      <c r="G148" t="s">
        <v>62</v>
      </c>
      <c r="I148" t="s">
        <v>65</v>
      </c>
    </row>
    <row r="149" spans="1:9" x14ac:dyDescent="0.25">
      <c r="A149" s="1">
        <v>45853</v>
      </c>
      <c r="B149" t="s">
        <v>13</v>
      </c>
      <c r="C149">
        <v>-104.99</v>
      </c>
      <c r="D149" t="s">
        <v>53</v>
      </c>
      <c r="E149" t="s">
        <v>213</v>
      </c>
      <c r="G149" t="s">
        <v>62</v>
      </c>
      <c r="I149" t="s">
        <v>180</v>
      </c>
    </row>
    <row r="150" spans="1:9" x14ac:dyDescent="0.25">
      <c r="A150" s="1">
        <v>45853</v>
      </c>
      <c r="B150" t="s">
        <v>13</v>
      </c>
      <c r="C150">
        <v>-711.12</v>
      </c>
      <c r="D150" t="s">
        <v>214</v>
      </c>
      <c r="E150" t="s">
        <v>215</v>
      </c>
      <c r="G150" t="s">
        <v>62</v>
      </c>
      <c r="H150" t="s">
        <v>397</v>
      </c>
      <c r="I150" t="s">
        <v>307</v>
      </c>
    </row>
    <row r="151" spans="1:9" x14ac:dyDescent="0.25">
      <c r="A151" s="1">
        <v>45853</v>
      </c>
      <c r="B151" t="s">
        <v>13</v>
      </c>
      <c r="C151">
        <v>-3</v>
      </c>
      <c r="D151" t="s">
        <v>99</v>
      </c>
      <c r="E151" t="s">
        <v>176</v>
      </c>
      <c r="G151" t="s">
        <v>62</v>
      </c>
      <c r="I151" t="s">
        <v>65</v>
      </c>
    </row>
    <row r="152" spans="1:9" x14ac:dyDescent="0.25">
      <c r="A152" s="1">
        <v>45853</v>
      </c>
      <c r="B152" t="s">
        <v>13</v>
      </c>
      <c r="C152">
        <v>-65.41</v>
      </c>
      <c r="D152" t="s">
        <v>75</v>
      </c>
      <c r="E152" t="s">
        <v>216</v>
      </c>
      <c r="G152" t="s">
        <v>62</v>
      </c>
      <c r="I152" t="s">
        <v>142</v>
      </c>
    </row>
    <row r="153" spans="1:9" x14ac:dyDescent="0.25">
      <c r="A153" s="1">
        <v>45853</v>
      </c>
      <c r="B153" t="s">
        <v>13</v>
      </c>
      <c r="C153">
        <v>-5023.76</v>
      </c>
      <c r="D153" t="s">
        <v>68</v>
      </c>
      <c r="E153" t="s">
        <v>69</v>
      </c>
      <c r="G153" t="s">
        <v>70</v>
      </c>
    </row>
    <row r="154" spans="1:9" x14ac:dyDescent="0.25">
      <c r="A154" s="1">
        <v>45853</v>
      </c>
      <c r="B154" t="s">
        <v>13</v>
      </c>
      <c r="C154">
        <v>-40.9</v>
      </c>
      <c r="D154" t="s">
        <v>75</v>
      </c>
      <c r="E154" t="s">
        <v>217</v>
      </c>
      <c r="G154" t="s">
        <v>62</v>
      </c>
      <c r="I154" t="s">
        <v>218</v>
      </c>
    </row>
    <row r="155" spans="1:9" x14ac:dyDescent="0.25">
      <c r="A155" s="1">
        <v>45853</v>
      </c>
      <c r="B155" t="s">
        <v>13</v>
      </c>
      <c r="C155">
        <v>-9</v>
      </c>
      <c r="D155" t="s">
        <v>75</v>
      </c>
      <c r="E155" t="s">
        <v>217</v>
      </c>
      <c r="G155" t="s">
        <v>62</v>
      </c>
      <c r="I155" t="s">
        <v>218</v>
      </c>
    </row>
    <row r="156" spans="1:9" x14ac:dyDescent="0.25">
      <c r="A156" s="1">
        <v>45853</v>
      </c>
      <c r="B156" t="s">
        <v>13</v>
      </c>
      <c r="C156">
        <v>-29.99</v>
      </c>
      <c r="D156" t="s">
        <v>172</v>
      </c>
      <c r="E156" t="s">
        <v>179</v>
      </c>
      <c r="G156" t="s">
        <v>62</v>
      </c>
      <c r="I156" t="s">
        <v>180</v>
      </c>
    </row>
    <row r="157" spans="1:9" x14ac:dyDescent="0.25">
      <c r="A157" s="1">
        <v>45853</v>
      </c>
      <c r="B157" t="s">
        <v>13</v>
      </c>
      <c r="C157">
        <v>100</v>
      </c>
      <c r="D157" t="s">
        <v>14</v>
      </c>
      <c r="E157" t="s">
        <v>219</v>
      </c>
      <c r="G157" t="s">
        <v>164</v>
      </c>
    </row>
    <row r="158" spans="1:9" x14ac:dyDescent="0.25">
      <c r="A158" s="1">
        <v>45853</v>
      </c>
      <c r="B158" t="s">
        <v>13</v>
      </c>
      <c r="C158">
        <v>-28.83</v>
      </c>
      <c r="D158" t="s">
        <v>24</v>
      </c>
      <c r="E158" t="s">
        <v>220</v>
      </c>
      <c r="F158" t="s">
        <v>130</v>
      </c>
      <c r="G158" t="s">
        <v>81</v>
      </c>
    </row>
    <row r="159" spans="1:9" x14ac:dyDescent="0.25">
      <c r="A159" s="1">
        <v>45853</v>
      </c>
      <c r="B159" t="s">
        <v>13</v>
      </c>
      <c r="C159">
        <v>519.80999999999995</v>
      </c>
      <c r="D159" t="s">
        <v>14</v>
      </c>
      <c r="E159" t="s">
        <v>221</v>
      </c>
      <c r="F159" t="s">
        <v>124</v>
      </c>
      <c r="G159" t="s">
        <v>17</v>
      </c>
    </row>
    <row r="160" spans="1:9" x14ac:dyDescent="0.25">
      <c r="A160" s="1">
        <v>45853</v>
      </c>
      <c r="B160" t="s">
        <v>13</v>
      </c>
      <c r="C160">
        <v>-852</v>
      </c>
      <c r="D160" t="s">
        <v>24</v>
      </c>
      <c r="E160" t="s">
        <v>222</v>
      </c>
      <c r="F160" t="s">
        <v>122</v>
      </c>
      <c r="G160" t="s">
        <v>81</v>
      </c>
    </row>
    <row r="161" spans="1:9" x14ac:dyDescent="0.25">
      <c r="A161" s="1">
        <v>45853</v>
      </c>
      <c r="B161" t="s">
        <v>9</v>
      </c>
      <c r="C161">
        <v>209.92</v>
      </c>
      <c r="D161" t="s">
        <v>47</v>
      </c>
      <c r="E161" t="s">
        <v>223</v>
      </c>
      <c r="G161" t="s">
        <v>62</v>
      </c>
      <c r="I161" t="s">
        <v>65</v>
      </c>
    </row>
    <row r="162" spans="1:9" x14ac:dyDescent="0.25">
      <c r="A162" s="1">
        <v>45853</v>
      </c>
      <c r="B162" t="s">
        <v>29</v>
      </c>
      <c r="C162">
        <v>-499.05</v>
      </c>
      <c r="D162" t="s">
        <v>10</v>
      </c>
      <c r="E162" s="2" t="s">
        <v>224</v>
      </c>
      <c r="F162" t="s">
        <v>16</v>
      </c>
      <c r="G162" t="s">
        <v>31</v>
      </c>
    </row>
    <row r="163" spans="1:9" x14ac:dyDescent="0.25">
      <c r="A163" s="1">
        <v>45853</v>
      </c>
      <c r="B163" t="s">
        <v>46</v>
      </c>
      <c r="C163">
        <v>300</v>
      </c>
      <c r="D163" t="s">
        <v>47</v>
      </c>
      <c r="E163" t="s">
        <v>48</v>
      </c>
      <c r="G163" t="s">
        <v>399</v>
      </c>
    </row>
    <row r="164" spans="1:9" x14ac:dyDescent="0.25">
      <c r="A164" s="1">
        <v>45854</v>
      </c>
      <c r="B164" t="s">
        <v>13</v>
      </c>
      <c r="C164">
        <v>316.39999999999998</v>
      </c>
      <c r="D164" t="s">
        <v>14</v>
      </c>
      <c r="E164" t="s">
        <v>225</v>
      </c>
      <c r="F164" t="s">
        <v>226</v>
      </c>
      <c r="G164" t="s">
        <v>398</v>
      </c>
    </row>
    <row r="165" spans="1:9" x14ac:dyDescent="0.25">
      <c r="A165" s="1">
        <v>45854</v>
      </c>
      <c r="B165" t="s">
        <v>29</v>
      </c>
      <c r="C165">
        <v>-37.17</v>
      </c>
      <c r="D165" t="s">
        <v>10</v>
      </c>
      <c r="E165" s="2" t="s">
        <v>227</v>
      </c>
      <c r="F165" t="s">
        <v>139</v>
      </c>
      <c r="G165" t="s">
        <v>31</v>
      </c>
    </row>
    <row r="166" spans="1:9" x14ac:dyDescent="0.25">
      <c r="A166" s="1">
        <v>45854</v>
      </c>
      <c r="B166" t="s">
        <v>29</v>
      </c>
      <c r="C166">
        <v>-602.6</v>
      </c>
      <c r="D166" t="s">
        <v>10</v>
      </c>
      <c r="E166" s="2" t="s">
        <v>228</v>
      </c>
      <c r="F166" t="s">
        <v>133</v>
      </c>
      <c r="G166" t="s">
        <v>31</v>
      </c>
    </row>
    <row r="167" spans="1:9" x14ac:dyDescent="0.25">
      <c r="A167" s="1">
        <v>45854</v>
      </c>
      <c r="B167" t="s">
        <v>13</v>
      </c>
      <c r="C167">
        <v>980</v>
      </c>
      <c r="D167" t="s">
        <v>14</v>
      </c>
      <c r="E167" s="2" t="s">
        <v>229</v>
      </c>
      <c r="F167" t="s">
        <v>45</v>
      </c>
      <c r="G167" t="s">
        <v>164</v>
      </c>
    </row>
    <row r="168" spans="1:9" x14ac:dyDescent="0.25">
      <c r="A168" s="1">
        <v>45854</v>
      </c>
      <c r="B168" t="s">
        <v>13</v>
      </c>
      <c r="C168">
        <v>-168</v>
      </c>
      <c r="D168" t="s">
        <v>24</v>
      </c>
      <c r="E168" t="s">
        <v>230</v>
      </c>
      <c r="F168" t="s">
        <v>23</v>
      </c>
      <c r="G168" t="s">
        <v>81</v>
      </c>
    </row>
    <row r="169" spans="1:9" x14ac:dyDescent="0.25">
      <c r="A169" s="1">
        <v>45854</v>
      </c>
      <c r="B169" t="s">
        <v>9</v>
      </c>
      <c r="C169">
        <v>-18.989999999999998</v>
      </c>
      <c r="D169" t="s">
        <v>10</v>
      </c>
      <c r="E169" t="s">
        <v>231</v>
      </c>
      <c r="G169" t="s">
        <v>57</v>
      </c>
    </row>
    <row r="170" spans="1:9" x14ac:dyDescent="0.25">
      <c r="A170" s="1">
        <v>45854</v>
      </c>
      <c r="B170" t="s">
        <v>13</v>
      </c>
      <c r="C170">
        <v>-109.99</v>
      </c>
      <c r="D170" t="s">
        <v>53</v>
      </c>
      <c r="E170" t="s">
        <v>232</v>
      </c>
      <c r="F170" s="5" t="s">
        <v>401</v>
      </c>
      <c r="G170" t="s">
        <v>81</v>
      </c>
    </row>
    <row r="171" spans="1:9" x14ac:dyDescent="0.25">
      <c r="A171" s="1">
        <v>45854</v>
      </c>
      <c r="B171" t="s">
        <v>13</v>
      </c>
      <c r="C171">
        <v>-66</v>
      </c>
      <c r="D171" t="s">
        <v>24</v>
      </c>
      <c r="E171" t="s">
        <v>233</v>
      </c>
      <c r="F171" t="s">
        <v>19</v>
      </c>
      <c r="G171" t="s">
        <v>81</v>
      </c>
    </row>
    <row r="172" spans="1:9" x14ac:dyDescent="0.25">
      <c r="A172" s="1">
        <v>45854</v>
      </c>
      <c r="B172" t="s">
        <v>13</v>
      </c>
      <c r="C172">
        <v>-71.150000000000006</v>
      </c>
      <c r="D172" t="s">
        <v>172</v>
      </c>
      <c r="E172" t="s">
        <v>234</v>
      </c>
      <c r="G172" t="s">
        <v>62</v>
      </c>
      <c r="I172" t="s">
        <v>180</v>
      </c>
    </row>
    <row r="173" spans="1:9" x14ac:dyDescent="0.25">
      <c r="A173" s="1">
        <v>45854</v>
      </c>
      <c r="B173" t="s">
        <v>13</v>
      </c>
      <c r="C173">
        <v>975</v>
      </c>
      <c r="D173" t="s">
        <v>14</v>
      </c>
      <c r="E173" t="s">
        <v>235</v>
      </c>
      <c r="F173" t="s">
        <v>236</v>
      </c>
      <c r="G173" t="s">
        <v>17</v>
      </c>
    </row>
    <row r="174" spans="1:9" x14ac:dyDescent="0.25">
      <c r="A174" s="1">
        <v>45854</v>
      </c>
      <c r="B174" t="s">
        <v>46</v>
      </c>
      <c r="C174">
        <v>-111.59</v>
      </c>
      <c r="D174" t="s">
        <v>60</v>
      </c>
      <c r="E174" t="s">
        <v>237</v>
      </c>
      <c r="G174" t="s">
        <v>62</v>
      </c>
      <c r="I174" t="s">
        <v>83</v>
      </c>
    </row>
    <row r="175" spans="1:9" x14ac:dyDescent="0.25">
      <c r="A175" s="1">
        <v>45855</v>
      </c>
      <c r="B175" t="s">
        <v>13</v>
      </c>
      <c r="C175">
        <v>725</v>
      </c>
      <c r="D175" t="s">
        <v>14</v>
      </c>
      <c r="E175" t="s">
        <v>238</v>
      </c>
      <c r="F175" t="s">
        <v>113</v>
      </c>
      <c r="G175" t="s">
        <v>17</v>
      </c>
    </row>
    <row r="176" spans="1:9" x14ac:dyDescent="0.25">
      <c r="A176" s="1">
        <v>45855</v>
      </c>
      <c r="B176" t="s">
        <v>46</v>
      </c>
      <c r="C176">
        <v>-26.76</v>
      </c>
      <c r="D176" t="s">
        <v>140</v>
      </c>
      <c r="E176" t="s">
        <v>239</v>
      </c>
      <c r="G176" t="s">
        <v>62</v>
      </c>
      <c r="I176" t="s">
        <v>154</v>
      </c>
    </row>
    <row r="177" spans="1:9" x14ac:dyDescent="0.25">
      <c r="A177" s="1">
        <v>45855</v>
      </c>
      <c r="B177" t="s">
        <v>9</v>
      </c>
      <c r="C177">
        <v>-5</v>
      </c>
      <c r="D177" t="s">
        <v>93</v>
      </c>
      <c r="E177" t="s">
        <v>240</v>
      </c>
      <c r="G177" t="s">
        <v>62</v>
      </c>
      <c r="I177" t="s">
        <v>102</v>
      </c>
    </row>
    <row r="178" spans="1:9" x14ac:dyDescent="0.25">
      <c r="A178" s="1">
        <v>45855</v>
      </c>
      <c r="B178" t="s">
        <v>46</v>
      </c>
      <c r="C178">
        <v>-7.29</v>
      </c>
      <c r="D178" t="s">
        <v>140</v>
      </c>
      <c r="E178" t="s">
        <v>241</v>
      </c>
      <c r="G178" t="s">
        <v>62</v>
      </c>
      <c r="I178" t="s">
        <v>148</v>
      </c>
    </row>
    <row r="179" spans="1:9" x14ac:dyDescent="0.25">
      <c r="A179" s="1">
        <v>45856</v>
      </c>
      <c r="B179" t="s">
        <v>13</v>
      </c>
      <c r="C179">
        <v>25</v>
      </c>
      <c r="D179" t="s">
        <v>14</v>
      </c>
      <c r="E179" t="s">
        <v>242</v>
      </c>
      <c r="F179" t="s">
        <v>43</v>
      </c>
      <c r="G179" t="s">
        <v>17</v>
      </c>
    </row>
    <row r="180" spans="1:9" x14ac:dyDescent="0.25">
      <c r="A180" s="1">
        <v>45856</v>
      </c>
      <c r="B180" t="s">
        <v>13</v>
      </c>
      <c r="C180">
        <v>1153</v>
      </c>
      <c r="D180" t="s">
        <v>14</v>
      </c>
      <c r="E180" s="2" t="s">
        <v>243</v>
      </c>
      <c r="F180" t="s">
        <v>43</v>
      </c>
      <c r="G180" t="s">
        <v>164</v>
      </c>
    </row>
    <row r="181" spans="1:9" x14ac:dyDescent="0.25">
      <c r="A181" s="1">
        <v>45856</v>
      </c>
      <c r="B181" t="s">
        <v>46</v>
      </c>
      <c r="C181">
        <v>-18.5</v>
      </c>
      <c r="D181" t="s">
        <v>140</v>
      </c>
      <c r="E181" t="s">
        <v>244</v>
      </c>
      <c r="G181" t="s">
        <v>62</v>
      </c>
      <c r="I181" t="s">
        <v>79</v>
      </c>
    </row>
    <row r="182" spans="1:9" x14ac:dyDescent="0.25">
      <c r="A182" s="1">
        <v>45856</v>
      </c>
      <c r="B182" t="s">
        <v>46</v>
      </c>
      <c r="C182">
        <v>-10</v>
      </c>
      <c r="D182" t="s">
        <v>93</v>
      </c>
      <c r="E182" t="s">
        <v>245</v>
      </c>
      <c r="G182" t="s">
        <v>62</v>
      </c>
      <c r="I182" t="s">
        <v>95</v>
      </c>
    </row>
    <row r="183" spans="1:9" x14ac:dyDescent="0.25">
      <c r="A183" s="1">
        <v>45856</v>
      </c>
      <c r="B183" t="s">
        <v>13</v>
      </c>
      <c r="C183">
        <v>-40</v>
      </c>
      <c r="D183" t="s">
        <v>24</v>
      </c>
      <c r="E183" t="s">
        <v>246</v>
      </c>
      <c r="F183" t="s">
        <v>205</v>
      </c>
      <c r="G183" t="s">
        <v>81</v>
      </c>
    </row>
    <row r="184" spans="1:9" x14ac:dyDescent="0.25">
      <c r="A184" s="1">
        <v>45856</v>
      </c>
      <c r="B184" t="s">
        <v>46</v>
      </c>
      <c r="C184">
        <v>-10</v>
      </c>
      <c r="D184" t="s">
        <v>93</v>
      </c>
      <c r="E184" t="s">
        <v>101</v>
      </c>
      <c r="G184" t="s">
        <v>62</v>
      </c>
      <c r="I184" t="s">
        <v>102</v>
      </c>
    </row>
    <row r="185" spans="1:9" x14ac:dyDescent="0.25">
      <c r="A185" s="1">
        <v>45856</v>
      </c>
      <c r="B185" t="s">
        <v>13</v>
      </c>
      <c r="C185">
        <v>-1011.24</v>
      </c>
      <c r="D185" t="s">
        <v>68</v>
      </c>
      <c r="E185" t="s">
        <v>69</v>
      </c>
      <c r="G185" t="s">
        <v>70</v>
      </c>
    </row>
    <row r="186" spans="1:9" x14ac:dyDescent="0.25">
      <c r="A186" s="1">
        <v>45856</v>
      </c>
      <c r="B186" t="s">
        <v>13</v>
      </c>
      <c r="C186">
        <v>-40</v>
      </c>
      <c r="D186" t="s">
        <v>24</v>
      </c>
      <c r="E186" t="s">
        <v>247</v>
      </c>
      <c r="F186" t="s">
        <v>43</v>
      </c>
      <c r="G186" t="s">
        <v>81</v>
      </c>
    </row>
    <row r="187" spans="1:9" x14ac:dyDescent="0.25">
      <c r="A187" s="1">
        <v>45856</v>
      </c>
      <c r="B187" t="s">
        <v>13</v>
      </c>
      <c r="C187">
        <v>-252.9</v>
      </c>
      <c r="D187" t="s">
        <v>24</v>
      </c>
      <c r="E187" t="s">
        <v>248</v>
      </c>
      <c r="F187" t="s">
        <v>369</v>
      </c>
      <c r="G187" t="s">
        <v>81</v>
      </c>
    </row>
    <row r="188" spans="1:9" x14ac:dyDescent="0.25">
      <c r="A188" s="1">
        <v>45856</v>
      </c>
      <c r="B188" t="s">
        <v>13</v>
      </c>
      <c r="C188">
        <v>-80</v>
      </c>
      <c r="D188" t="s">
        <v>24</v>
      </c>
      <c r="E188" t="s">
        <v>249</v>
      </c>
      <c r="F188" t="s">
        <v>43</v>
      </c>
      <c r="G188" t="s">
        <v>81</v>
      </c>
    </row>
    <row r="189" spans="1:9" x14ac:dyDescent="0.25">
      <c r="A189" s="1">
        <v>45856</v>
      </c>
      <c r="B189" t="s">
        <v>13</v>
      </c>
      <c r="C189">
        <v>-95</v>
      </c>
      <c r="D189" t="s">
        <v>24</v>
      </c>
      <c r="E189" t="s">
        <v>250</v>
      </c>
      <c r="F189" t="s">
        <v>43</v>
      </c>
      <c r="G189" t="s">
        <v>81</v>
      </c>
    </row>
    <row r="190" spans="1:9" x14ac:dyDescent="0.25">
      <c r="A190" s="1">
        <v>45856</v>
      </c>
      <c r="B190" t="s">
        <v>13</v>
      </c>
      <c r="C190">
        <v>850</v>
      </c>
      <c r="D190" t="s">
        <v>14</v>
      </c>
      <c r="E190" t="s">
        <v>251</v>
      </c>
      <c r="F190" t="s">
        <v>119</v>
      </c>
      <c r="G190" t="s">
        <v>17</v>
      </c>
    </row>
    <row r="191" spans="1:9" x14ac:dyDescent="0.25">
      <c r="A191" s="1">
        <v>45856</v>
      </c>
      <c r="B191" t="s">
        <v>46</v>
      </c>
      <c r="C191">
        <v>-15.1</v>
      </c>
      <c r="D191" t="s">
        <v>140</v>
      </c>
      <c r="E191" t="s">
        <v>244</v>
      </c>
      <c r="G191" t="s">
        <v>62</v>
      </c>
      <c r="I191" t="s">
        <v>79</v>
      </c>
    </row>
    <row r="192" spans="1:9" x14ac:dyDescent="0.25">
      <c r="A192" s="1">
        <v>45856</v>
      </c>
      <c r="B192" t="s">
        <v>9</v>
      </c>
      <c r="C192">
        <v>-2.99</v>
      </c>
      <c r="D192" t="s">
        <v>60</v>
      </c>
      <c r="E192" t="s">
        <v>252</v>
      </c>
      <c r="G192" t="s">
        <v>62</v>
      </c>
      <c r="I192" t="s">
        <v>63</v>
      </c>
    </row>
    <row r="193" spans="1:9" x14ac:dyDescent="0.25">
      <c r="A193" s="1">
        <v>45856</v>
      </c>
      <c r="B193" t="s">
        <v>9</v>
      </c>
      <c r="C193">
        <v>-7.02</v>
      </c>
      <c r="D193" t="s">
        <v>60</v>
      </c>
      <c r="E193" t="s">
        <v>253</v>
      </c>
      <c r="G193" t="s">
        <v>62</v>
      </c>
      <c r="I193" t="s">
        <v>63</v>
      </c>
    </row>
    <row r="194" spans="1:9" x14ac:dyDescent="0.25">
      <c r="A194" s="1">
        <v>45856</v>
      </c>
      <c r="B194" t="s">
        <v>9</v>
      </c>
      <c r="C194">
        <v>15</v>
      </c>
      <c r="D194" t="s">
        <v>254</v>
      </c>
      <c r="E194" t="s">
        <v>255</v>
      </c>
      <c r="F194" t="s">
        <v>256</v>
      </c>
      <c r="G194" t="s">
        <v>81</v>
      </c>
    </row>
    <row r="195" spans="1:9" x14ac:dyDescent="0.25">
      <c r="A195" s="1">
        <v>45856</v>
      </c>
      <c r="B195" t="s">
        <v>9</v>
      </c>
      <c r="C195">
        <v>-15</v>
      </c>
      <c r="D195" t="s">
        <v>58</v>
      </c>
      <c r="E195" t="s">
        <v>257</v>
      </c>
      <c r="F195" t="s">
        <v>256</v>
      </c>
      <c r="G195" t="s">
        <v>81</v>
      </c>
    </row>
    <row r="196" spans="1:9" x14ac:dyDescent="0.25">
      <c r="A196" s="1">
        <v>45856</v>
      </c>
      <c r="B196" t="s">
        <v>29</v>
      </c>
      <c r="C196">
        <v>-371.47</v>
      </c>
      <c r="D196" t="s">
        <v>10</v>
      </c>
      <c r="E196" s="2" t="s">
        <v>258</v>
      </c>
      <c r="F196" t="s">
        <v>139</v>
      </c>
      <c r="G196" t="s">
        <v>31</v>
      </c>
    </row>
    <row r="197" spans="1:9" x14ac:dyDescent="0.25">
      <c r="A197" s="1">
        <v>45857</v>
      </c>
      <c r="B197" t="s">
        <v>13</v>
      </c>
      <c r="C197">
        <v>-26.18</v>
      </c>
      <c r="D197" t="s">
        <v>172</v>
      </c>
      <c r="E197" t="s">
        <v>259</v>
      </c>
      <c r="G197" t="s">
        <v>62</v>
      </c>
      <c r="I197" t="s">
        <v>180</v>
      </c>
    </row>
    <row r="198" spans="1:9" x14ac:dyDescent="0.25">
      <c r="A198" s="1">
        <v>45857</v>
      </c>
      <c r="B198" t="s">
        <v>13</v>
      </c>
      <c r="C198">
        <v>-6.88</v>
      </c>
      <c r="D198" t="s">
        <v>172</v>
      </c>
      <c r="E198" t="s">
        <v>260</v>
      </c>
      <c r="F198" t="s">
        <v>256</v>
      </c>
      <c r="G198" t="s">
        <v>81</v>
      </c>
    </row>
    <row r="199" spans="1:9" x14ac:dyDescent="0.25">
      <c r="A199" s="1">
        <v>45857</v>
      </c>
      <c r="B199" t="s">
        <v>13</v>
      </c>
      <c r="C199">
        <v>-102.43</v>
      </c>
      <c r="D199" t="s">
        <v>172</v>
      </c>
      <c r="E199" t="s">
        <v>179</v>
      </c>
      <c r="G199" t="s">
        <v>62</v>
      </c>
      <c r="I199" t="s">
        <v>180</v>
      </c>
    </row>
    <row r="200" spans="1:9" x14ac:dyDescent="0.25">
      <c r="A200" s="1">
        <v>45857</v>
      </c>
      <c r="B200" t="s">
        <v>13</v>
      </c>
      <c r="C200">
        <v>-101.2</v>
      </c>
      <c r="D200" t="s">
        <v>24</v>
      </c>
      <c r="E200" t="s">
        <v>261</v>
      </c>
      <c r="F200" t="s">
        <v>369</v>
      </c>
      <c r="G200" t="s">
        <v>81</v>
      </c>
    </row>
    <row r="201" spans="1:9" x14ac:dyDescent="0.25">
      <c r="A201" s="1">
        <v>45857</v>
      </c>
      <c r="B201" t="s">
        <v>13</v>
      </c>
      <c r="C201">
        <v>-91.94</v>
      </c>
      <c r="D201" t="s">
        <v>172</v>
      </c>
      <c r="E201" t="s">
        <v>179</v>
      </c>
      <c r="G201" t="s">
        <v>62</v>
      </c>
      <c r="I201" t="s">
        <v>180</v>
      </c>
    </row>
    <row r="202" spans="1:9" x14ac:dyDescent="0.25">
      <c r="A202" s="1">
        <v>45857</v>
      </c>
      <c r="B202" t="s">
        <v>13</v>
      </c>
      <c r="C202">
        <v>-6.99</v>
      </c>
      <c r="D202" t="s">
        <v>24</v>
      </c>
      <c r="E202" t="s">
        <v>262</v>
      </c>
      <c r="F202" s="5" t="s">
        <v>401</v>
      </c>
      <c r="G202" t="s">
        <v>81</v>
      </c>
    </row>
    <row r="203" spans="1:9" x14ac:dyDescent="0.25">
      <c r="A203" s="1">
        <v>45857</v>
      </c>
      <c r="B203" t="s">
        <v>13</v>
      </c>
      <c r="C203">
        <v>-10.99</v>
      </c>
      <c r="D203" t="s">
        <v>172</v>
      </c>
      <c r="E203" t="s">
        <v>263</v>
      </c>
      <c r="F203" t="s">
        <v>256</v>
      </c>
      <c r="G203" t="s">
        <v>81</v>
      </c>
    </row>
    <row r="204" spans="1:9" x14ac:dyDescent="0.25">
      <c r="A204" s="1">
        <v>45857</v>
      </c>
      <c r="B204" t="s">
        <v>13</v>
      </c>
      <c r="C204">
        <v>-9.34</v>
      </c>
      <c r="D204" t="s">
        <v>172</v>
      </c>
      <c r="E204" t="s">
        <v>264</v>
      </c>
      <c r="F204" t="s">
        <v>256</v>
      </c>
      <c r="G204" t="s">
        <v>81</v>
      </c>
    </row>
    <row r="205" spans="1:9" x14ac:dyDescent="0.25">
      <c r="A205" s="1">
        <v>45857</v>
      </c>
      <c r="B205" t="s">
        <v>13</v>
      </c>
      <c r="C205">
        <v>-6.49</v>
      </c>
      <c r="D205" t="s">
        <v>214</v>
      </c>
      <c r="E205" t="s">
        <v>265</v>
      </c>
      <c r="F205" t="s">
        <v>122</v>
      </c>
      <c r="G205" t="s">
        <v>81</v>
      </c>
    </row>
    <row r="206" spans="1:9" x14ac:dyDescent="0.25">
      <c r="A206" s="1">
        <v>45858</v>
      </c>
      <c r="B206" t="s">
        <v>13</v>
      </c>
      <c r="C206">
        <v>-9.9499999999999993</v>
      </c>
      <c r="D206" t="s">
        <v>172</v>
      </c>
      <c r="E206" t="s">
        <v>266</v>
      </c>
      <c r="F206" t="s">
        <v>256</v>
      </c>
      <c r="G206" t="s">
        <v>81</v>
      </c>
    </row>
    <row r="207" spans="1:9" x14ac:dyDescent="0.25">
      <c r="A207" s="1">
        <v>45858</v>
      </c>
      <c r="B207" t="s">
        <v>13</v>
      </c>
      <c r="C207">
        <v>980</v>
      </c>
      <c r="D207" t="s">
        <v>14</v>
      </c>
      <c r="E207" t="s">
        <v>267</v>
      </c>
      <c r="F207" t="s">
        <v>37</v>
      </c>
      <c r="G207" t="s">
        <v>17</v>
      </c>
    </row>
    <row r="208" spans="1:9" x14ac:dyDescent="0.25">
      <c r="A208" s="1">
        <v>45858</v>
      </c>
      <c r="B208" t="s">
        <v>13</v>
      </c>
      <c r="C208">
        <v>-100</v>
      </c>
      <c r="D208" t="s">
        <v>24</v>
      </c>
      <c r="E208" t="s">
        <v>268</v>
      </c>
      <c r="G208" t="s">
        <v>62</v>
      </c>
      <c r="I208" t="s">
        <v>170</v>
      </c>
    </row>
    <row r="209" spans="1:9" x14ac:dyDescent="0.25">
      <c r="A209" s="1">
        <v>45858</v>
      </c>
      <c r="B209" t="s">
        <v>13</v>
      </c>
      <c r="C209">
        <v>-17.05</v>
      </c>
      <c r="D209" t="s">
        <v>24</v>
      </c>
      <c r="E209" t="s">
        <v>269</v>
      </c>
      <c r="F209" t="s">
        <v>256</v>
      </c>
      <c r="G209" t="s">
        <v>81</v>
      </c>
    </row>
    <row r="210" spans="1:9" x14ac:dyDescent="0.25">
      <c r="A210" s="1">
        <v>45858</v>
      </c>
      <c r="B210" t="s">
        <v>13</v>
      </c>
      <c r="C210">
        <v>-7.05</v>
      </c>
      <c r="D210" t="s">
        <v>75</v>
      </c>
      <c r="E210" t="s">
        <v>270</v>
      </c>
      <c r="G210" t="s">
        <v>62</v>
      </c>
      <c r="I210" t="s">
        <v>218</v>
      </c>
    </row>
    <row r="211" spans="1:9" x14ac:dyDescent="0.25">
      <c r="A211" s="1">
        <v>45858</v>
      </c>
      <c r="B211" t="s">
        <v>13</v>
      </c>
      <c r="C211">
        <v>-250</v>
      </c>
      <c r="D211" t="s">
        <v>72</v>
      </c>
      <c r="E211" t="s">
        <v>271</v>
      </c>
      <c r="G211" t="s">
        <v>57</v>
      </c>
      <c r="I211" t="s">
        <v>404</v>
      </c>
    </row>
    <row r="212" spans="1:9" x14ac:dyDescent="0.25">
      <c r="A212" s="1">
        <v>45859</v>
      </c>
      <c r="B212" t="s">
        <v>9</v>
      </c>
      <c r="C212">
        <v>-200</v>
      </c>
      <c r="D212" t="s">
        <v>93</v>
      </c>
      <c r="E212" t="s">
        <v>272</v>
      </c>
      <c r="G212" t="s">
        <v>62</v>
      </c>
      <c r="I212" t="s">
        <v>95</v>
      </c>
    </row>
    <row r="213" spans="1:9" x14ac:dyDescent="0.25">
      <c r="A213" s="1">
        <v>45859</v>
      </c>
      <c r="B213" t="s">
        <v>9</v>
      </c>
      <c r="C213">
        <v>-26.54</v>
      </c>
      <c r="D213" t="s">
        <v>140</v>
      </c>
      <c r="E213" t="s">
        <v>273</v>
      </c>
      <c r="G213" t="s">
        <v>62</v>
      </c>
      <c r="I213" t="s">
        <v>65</v>
      </c>
    </row>
    <row r="214" spans="1:9" x14ac:dyDescent="0.25">
      <c r="A214" s="1">
        <v>45859</v>
      </c>
      <c r="B214" t="s">
        <v>9</v>
      </c>
      <c r="C214">
        <v>-81.290000000000006</v>
      </c>
      <c r="D214" t="s">
        <v>274</v>
      </c>
      <c r="E214" t="s">
        <v>275</v>
      </c>
      <c r="G214" t="s">
        <v>55</v>
      </c>
      <c r="I214" t="s">
        <v>395</v>
      </c>
    </row>
    <row r="215" spans="1:9" x14ac:dyDescent="0.25">
      <c r="A215" s="1">
        <v>45859</v>
      </c>
      <c r="B215" t="s">
        <v>46</v>
      </c>
      <c r="C215">
        <v>-15.4</v>
      </c>
      <c r="D215" t="s">
        <v>140</v>
      </c>
      <c r="E215" t="s">
        <v>276</v>
      </c>
      <c r="G215" t="s">
        <v>62</v>
      </c>
      <c r="I215" t="s">
        <v>65</v>
      </c>
    </row>
    <row r="216" spans="1:9" x14ac:dyDescent="0.25">
      <c r="A216" s="1">
        <v>45859</v>
      </c>
      <c r="B216" t="s">
        <v>46</v>
      </c>
      <c r="C216">
        <v>-11.99</v>
      </c>
      <c r="D216" t="s">
        <v>140</v>
      </c>
      <c r="E216" t="s">
        <v>277</v>
      </c>
      <c r="G216" t="s">
        <v>62</v>
      </c>
      <c r="I216" t="s">
        <v>218</v>
      </c>
    </row>
    <row r="217" spans="1:9" x14ac:dyDescent="0.25">
      <c r="A217" s="1">
        <v>45859</v>
      </c>
      <c r="B217" t="s">
        <v>46</v>
      </c>
      <c r="C217">
        <v>-18.05</v>
      </c>
      <c r="D217" t="s">
        <v>140</v>
      </c>
      <c r="E217" t="s">
        <v>278</v>
      </c>
      <c r="G217" t="s">
        <v>62</v>
      </c>
      <c r="I217" t="s">
        <v>148</v>
      </c>
    </row>
    <row r="218" spans="1:9" x14ac:dyDescent="0.25">
      <c r="A218" s="1">
        <v>45859</v>
      </c>
      <c r="B218" t="s">
        <v>46</v>
      </c>
      <c r="C218">
        <v>-16.25</v>
      </c>
      <c r="D218" t="s">
        <v>140</v>
      </c>
      <c r="E218" t="s">
        <v>279</v>
      </c>
      <c r="G218" t="s">
        <v>62</v>
      </c>
      <c r="I218" t="s">
        <v>79</v>
      </c>
    </row>
    <row r="219" spans="1:9" x14ac:dyDescent="0.25">
      <c r="A219" s="1">
        <v>45859</v>
      </c>
      <c r="B219" t="s">
        <v>46</v>
      </c>
      <c r="C219">
        <v>-22.68</v>
      </c>
      <c r="D219" t="s">
        <v>140</v>
      </c>
      <c r="E219" t="s">
        <v>280</v>
      </c>
      <c r="G219" t="s">
        <v>62</v>
      </c>
      <c r="I219" t="s">
        <v>218</v>
      </c>
    </row>
    <row r="220" spans="1:9" x14ac:dyDescent="0.25">
      <c r="A220" s="1">
        <v>45859</v>
      </c>
      <c r="B220" t="s">
        <v>46</v>
      </c>
      <c r="C220">
        <v>-32.270000000000003</v>
      </c>
      <c r="D220" t="s">
        <v>140</v>
      </c>
      <c r="E220" t="s">
        <v>281</v>
      </c>
      <c r="G220" t="s">
        <v>62</v>
      </c>
      <c r="I220" t="s">
        <v>77</v>
      </c>
    </row>
    <row r="221" spans="1:9" x14ac:dyDescent="0.25">
      <c r="A221" s="1">
        <v>45859</v>
      </c>
      <c r="B221" t="s">
        <v>46</v>
      </c>
      <c r="C221">
        <v>-20</v>
      </c>
      <c r="D221" t="s">
        <v>140</v>
      </c>
      <c r="E221" t="s">
        <v>282</v>
      </c>
      <c r="G221" t="s">
        <v>62</v>
      </c>
      <c r="I221" t="s">
        <v>180</v>
      </c>
    </row>
    <row r="222" spans="1:9" x14ac:dyDescent="0.25">
      <c r="A222" s="1">
        <v>45859</v>
      </c>
      <c r="B222" t="s">
        <v>46</v>
      </c>
      <c r="C222">
        <v>-7.9</v>
      </c>
      <c r="D222" t="s">
        <v>140</v>
      </c>
      <c r="E222" t="s">
        <v>283</v>
      </c>
      <c r="G222" t="s">
        <v>62</v>
      </c>
      <c r="I222" t="s">
        <v>184</v>
      </c>
    </row>
    <row r="223" spans="1:9" x14ac:dyDescent="0.25">
      <c r="A223" s="1">
        <v>45859</v>
      </c>
      <c r="B223" t="s">
        <v>46</v>
      </c>
      <c r="C223">
        <v>-6.4</v>
      </c>
      <c r="D223" t="s">
        <v>140</v>
      </c>
      <c r="E223" t="s">
        <v>284</v>
      </c>
      <c r="G223" t="s">
        <v>62</v>
      </c>
      <c r="I223" t="s">
        <v>79</v>
      </c>
    </row>
    <row r="224" spans="1:9" x14ac:dyDescent="0.25">
      <c r="A224" s="1">
        <v>45859</v>
      </c>
      <c r="B224" t="s">
        <v>13</v>
      </c>
      <c r="C224">
        <v>-100</v>
      </c>
      <c r="D224" t="s">
        <v>24</v>
      </c>
      <c r="E224" t="s">
        <v>285</v>
      </c>
      <c r="G224" t="s">
        <v>62</v>
      </c>
      <c r="I224" t="s">
        <v>170</v>
      </c>
    </row>
    <row r="225" spans="1:9" x14ac:dyDescent="0.25">
      <c r="A225" s="1">
        <v>45859</v>
      </c>
      <c r="B225" t="s">
        <v>29</v>
      </c>
      <c r="C225">
        <v>1011.24</v>
      </c>
      <c r="D225" t="s">
        <v>47</v>
      </c>
      <c r="E225" t="s">
        <v>71</v>
      </c>
      <c r="G225" t="s">
        <v>400</v>
      </c>
    </row>
    <row r="226" spans="1:9" x14ac:dyDescent="0.25">
      <c r="A226" s="1">
        <v>45859</v>
      </c>
      <c r="B226" t="s">
        <v>13</v>
      </c>
      <c r="C226">
        <v>-16.45</v>
      </c>
      <c r="D226" t="s">
        <v>24</v>
      </c>
      <c r="E226" t="s">
        <v>286</v>
      </c>
      <c r="F226" t="s">
        <v>256</v>
      </c>
      <c r="G226" t="s">
        <v>81</v>
      </c>
    </row>
    <row r="227" spans="1:9" x14ac:dyDescent="0.25">
      <c r="A227" s="1">
        <v>45859</v>
      </c>
      <c r="B227" t="s">
        <v>46</v>
      </c>
      <c r="C227">
        <v>-12.35</v>
      </c>
      <c r="D227" t="s">
        <v>140</v>
      </c>
      <c r="E227" t="s">
        <v>279</v>
      </c>
      <c r="G227" t="s">
        <v>62</v>
      </c>
      <c r="I227" t="s">
        <v>79</v>
      </c>
    </row>
    <row r="228" spans="1:9" x14ac:dyDescent="0.25">
      <c r="A228" s="1">
        <v>45859</v>
      </c>
      <c r="B228" t="s">
        <v>46</v>
      </c>
      <c r="C228">
        <v>21.51</v>
      </c>
      <c r="D228" t="s">
        <v>60</v>
      </c>
      <c r="E228" t="s">
        <v>287</v>
      </c>
      <c r="G228" t="s">
        <v>62</v>
      </c>
      <c r="I228" t="s">
        <v>65</v>
      </c>
    </row>
    <row r="229" spans="1:9" x14ac:dyDescent="0.25">
      <c r="A229" s="1">
        <v>45860</v>
      </c>
      <c r="B229" t="s">
        <v>13</v>
      </c>
      <c r="C229">
        <v>-8.4499999999999993</v>
      </c>
      <c r="D229" t="s">
        <v>75</v>
      </c>
      <c r="E229" t="s">
        <v>288</v>
      </c>
      <c r="G229" t="s">
        <v>62</v>
      </c>
      <c r="I229" t="s">
        <v>148</v>
      </c>
    </row>
    <row r="230" spans="1:9" x14ac:dyDescent="0.25">
      <c r="A230" s="1">
        <v>45860</v>
      </c>
      <c r="B230" t="s">
        <v>13</v>
      </c>
      <c r="C230">
        <v>-32.700000000000003</v>
      </c>
      <c r="D230" t="s">
        <v>75</v>
      </c>
      <c r="E230" t="s">
        <v>289</v>
      </c>
      <c r="G230" t="s">
        <v>62</v>
      </c>
      <c r="I230" t="s">
        <v>148</v>
      </c>
    </row>
    <row r="231" spans="1:9" x14ac:dyDescent="0.25">
      <c r="A231" s="1">
        <v>45860</v>
      </c>
      <c r="B231" t="s">
        <v>13</v>
      </c>
      <c r="C231">
        <v>-404</v>
      </c>
      <c r="D231" t="s">
        <v>172</v>
      </c>
      <c r="E231" t="s">
        <v>290</v>
      </c>
      <c r="F231" t="s">
        <v>122</v>
      </c>
      <c r="G231" t="s">
        <v>81</v>
      </c>
    </row>
    <row r="232" spans="1:9" x14ac:dyDescent="0.25">
      <c r="A232" s="1">
        <v>45860</v>
      </c>
      <c r="B232" t="s">
        <v>13</v>
      </c>
      <c r="C232">
        <v>45</v>
      </c>
      <c r="D232" t="s">
        <v>14</v>
      </c>
      <c r="E232" t="s">
        <v>291</v>
      </c>
      <c r="F232" t="s">
        <v>43</v>
      </c>
      <c r="G232" t="s">
        <v>164</v>
      </c>
    </row>
    <row r="233" spans="1:9" x14ac:dyDescent="0.25">
      <c r="A233" s="1">
        <v>45860</v>
      </c>
      <c r="B233" t="s">
        <v>13</v>
      </c>
      <c r="C233">
        <v>694.6</v>
      </c>
      <c r="D233" t="s">
        <v>14</v>
      </c>
      <c r="E233" t="s">
        <v>292</v>
      </c>
      <c r="F233" t="s">
        <v>203</v>
      </c>
      <c r="G233" t="s">
        <v>398</v>
      </c>
    </row>
    <row r="234" spans="1:9" x14ac:dyDescent="0.25">
      <c r="A234" s="1">
        <v>45860</v>
      </c>
      <c r="B234" t="s">
        <v>13</v>
      </c>
      <c r="C234">
        <v>-22.8</v>
      </c>
      <c r="D234" t="s">
        <v>149</v>
      </c>
      <c r="E234" t="s">
        <v>150</v>
      </c>
      <c r="G234" t="s">
        <v>62</v>
      </c>
      <c r="I234" t="s">
        <v>95</v>
      </c>
    </row>
    <row r="235" spans="1:9" x14ac:dyDescent="0.25">
      <c r="A235" s="1">
        <v>45860</v>
      </c>
      <c r="B235" t="s">
        <v>13</v>
      </c>
      <c r="C235">
        <v>-149</v>
      </c>
      <c r="D235" t="s">
        <v>24</v>
      </c>
      <c r="E235" t="s">
        <v>293</v>
      </c>
      <c r="F235" t="s">
        <v>45</v>
      </c>
      <c r="G235" t="s">
        <v>81</v>
      </c>
    </row>
    <row r="236" spans="1:9" x14ac:dyDescent="0.25">
      <c r="A236" s="1">
        <v>45860</v>
      </c>
      <c r="B236" t="s">
        <v>46</v>
      </c>
      <c r="C236">
        <v>-21</v>
      </c>
      <c r="D236" t="s">
        <v>140</v>
      </c>
      <c r="E236" t="s">
        <v>294</v>
      </c>
      <c r="G236" t="s">
        <v>62</v>
      </c>
      <c r="I236" t="s">
        <v>65</v>
      </c>
    </row>
    <row r="237" spans="1:9" x14ac:dyDescent="0.25">
      <c r="A237" s="1">
        <v>45860</v>
      </c>
      <c r="B237" t="s">
        <v>9</v>
      </c>
      <c r="C237">
        <v>-5.5</v>
      </c>
      <c r="D237" t="s">
        <v>140</v>
      </c>
      <c r="E237" t="s">
        <v>295</v>
      </c>
      <c r="G237" t="s">
        <v>62</v>
      </c>
      <c r="I237" t="s">
        <v>65</v>
      </c>
    </row>
    <row r="238" spans="1:9" x14ac:dyDescent="0.25">
      <c r="A238" s="1">
        <v>45860</v>
      </c>
      <c r="B238" t="s">
        <v>13</v>
      </c>
      <c r="C238">
        <v>-36.299999999999997</v>
      </c>
      <c r="D238" t="s">
        <v>149</v>
      </c>
      <c r="E238" t="s">
        <v>150</v>
      </c>
      <c r="G238" t="s">
        <v>62</v>
      </c>
      <c r="I238" t="s">
        <v>95</v>
      </c>
    </row>
    <row r="239" spans="1:9" x14ac:dyDescent="0.25">
      <c r="A239" s="1">
        <v>45860</v>
      </c>
      <c r="B239" t="s">
        <v>13</v>
      </c>
      <c r="C239">
        <v>-149</v>
      </c>
      <c r="D239" t="s">
        <v>24</v>
      </c>
      <c r="E239" t="s">
        <v>296</v>
      </c>
      <c r="F239" t="s">
        <v>21</v>
      </c>
      <c r="G239" t="s">
        <v>81</v>
      </c>
    </row>
    <row r="240" spans="1:9" x14ac:dyDescent="0.25">
      <c r="A240" s="1">
        <v>45860</v>
      </c>
      <c r="B240" t="s">
        <v>29</v>
      </c>
      <c r="C240">
        <v>-4.78</v>
      </c>
      <c r="D240" t="s">
        <v>274</v>
      </c>
      <c r="E240" t="s">
        <v>275</v>
      </c>
      <c r="G240" t="s">
        <v>55</v>
      </c>
      <c r="I240" t="s">
        <v>395</v>
      </c>
    </row>
    <row r="241" spans="1:9" x14ac:dyDescent="0.25">
      <c r="A241" s="1">
        <v>45860</v>
      </c>
      <c r="B241" t="s">
        <v>13</v>
      </c>
      <c r="C241">
        <v>-249</v>
      </c>
      <c r="D241" t="s">
        <v>24</v>
      </c>
      <c r="E241" t="s">
        <v>297</v>
      </c>
      <c r="F241" t="s">
        <v>43</v>
      </c>
      <c r="G241" t="s">
        <v>81</v>
      </c>
    </row>
    <row r="242" spans="1:9" x14ac:dyDescent="0.25">
      <c r="A242" s="1">
        <v>45860</v>
      </c>
      <c r="B242" t="s">
        <v>46</v>
      </c>
      <c r="C242">
        <v>-3.4</v>
      </c>
      <c r="D242" t="s">
        <v>140</v>
      </c>
      <c r="E242" t="s">
        <v>298</v>
      </c>
      <c r="G242" t="s">
        <v>62</v>
      </c>
      <c r="I242" t="s">
        <v>79</v>
      </c>
    </row>
    <row r="243" spans="1:9" x14ac:dyDescent="0.25">
      <c r="A243" s="1">
        <v>45860</v>
      </c>
      <c r="B243" t="s">
        <v>46</v>
      </c>
      <c r="C243">
        <v>100</v>
      </c>
      <c r="D243" t="s">
        <v>47</v>
      </c>
      <c r="E243" t="s">
        <v>167</v>
      </c>
      <c r="G243" t="s">
        <v>400</v>
      </c>
    </row>
    <row r="244" spans="1:9" x14ac:dyDescent="0.25">
      <c r="A244" s="1">
        <v>45860</v>
      </c>
      <c r="B244" t="s">
        <v>46</v>
      </c>
      <c r="C244">
        <v>-8.9600000000000009</v>
      </c>
      <c r="D244" t="s">
        <v>274</v>
      </c>
      <c r="E244" t="s">
        <v>275</v>
      </c>
      <c r="G244" t="s">
        <v>55</v>
      </c>
      <c r="I244" t="s">
        <v>395</v>
      </c>
    </row>
    <row r="245" spans="1:9" x14ac:dyDescent="0.25">
      <c r="A245" s="1">
        <v>45860</v>
      </c>
      <c r="B245" t="s">
        <v>29</v>
      </c>
      <c r="C245">
        <v>-468.8</v>
      </c>
      <c r="D245" t="s">
        <v>10</v>
      </c>
      <c r="E245" s="2" t="s">
        <v>299</v>
      </c>
      <c r="F245" t="s">
        <v>236</v>
      </c>
      <c r="G245" t="s">
        <v>31</v>
      </c>
    </row>
    <row r="246" spans="1:9" x14ac:dyDescent="0.25">
      <c r="A246" s="1">
        <v>45860</v>
      </c>
      <c r="B246" t="s">
        <v>29</v>
      </c>
      <c r="C246">
        <v>-10</v>
      </c>
      <c r="D246" t="s">
        <v>10</v>
      </c>
      <c r="E246" t="s">
        <v>300</v>
      </c>
      <c r="G246" t="s">
        <v>57</v>
      </c>
    </row>
    <row r="247" spans="1:9" x14ac:dyDescent="0.25">
      <c r="A247" s="1">
        <v>45860</v>
      </c>
      <c r="B247" t="s">
        <v>46</v>
      </c>
      <c r="C247">
        <v>-21.4</v>
      </c>
      <c r="D247" t="s">
        <v>60</v>
      </c>
      <c r="E247" t="s">
        <v>301</v>
      </c>
      <c r="G247" t="s">
        <v>62</v>
      </c>
      <c r="I247" t="s">
        <v>65</v>
      </c>
    </row>
    <row r="248" spans="1:9" x14ac:dyDescent="0.25">
      <c r="A248" s="1">
        <v>45860</v>
      </c>
      <c r="B248" t="s">
        <v>46</v>
      </c>
      <c r="C248">
        <v>-9.75</v>
      </c>
      <c r="D248" t="s">
        <v>140</v>
      </c>
      <c r="E248" t="s">
        <v>302</v>
      </c>
      <c r="G248" t="s">
        <v>62</v>
      </c>
      <c r="I248" t="s">
        <v>65</v>
      </c>
    </row>
    <row r="249" spans="1:9" x14ac:dyDescent="0.25">
      <c r="A249" s="1">
        <v>45860</v>
      </c>
      <c r="B249" t="s">
        <v>46</v>
      </c>
      <c r="C249">
        <v>-1.65</v>
      </c>
      <c r="D249" t="s">
        <v>140</v>
      </c>
      <c r="E249" t="s">
        <v>303</v>
      </c>
      <c r="G249" t="s">
        <v>62</v>
      </c>
      <c r="I249" t="s">
        <v>184</v>
      </c>
    </row>
    <row r="250" spans="1:9" x14ac:dyDescent="0.25">
      <c r="A250" s="1">
        <v>45861</v>
      </c>
      <c r="B250" t="s">
        <v>13</v>
      </c>
      <c r="C250">
        <v>-74.59</v>
      </c>
      <c r="D250" t="s">
        <v>75</v>
      </c>
      <c r="E250" t="s">
        <v>304</v>
      </c>
      <c r="G250" t="s">
        <v>62</v>
      </c>
      <c r="I250" t="s">
        <v>154</v>
      </c>
    </row>
    <row r="251" spans="1:9" x14ac:dyDescent="0.25">
      <c r="A251" s="1">
        <v>45861</v>
      </c>
      <c r="B251" t="s">
        <v>46</v>
      </c>
      <c r="C251">
        <v>-35</v>
      </c>
      <c r="D251" t="s">
        <v>93</v>
      </c>
      <c r="E251" t="s">
        <v>245</v>
      </c>
      <c r="G251" t="s">
        <v>62</v>
      </c>
      <c r="I251" t="s">
        <v>95</v>
      </c>
    </row>
    <row r="252" spans="1:9" x14ac:dyDescent="0.25">
      <c r="A252" s="1">
        <v>45861</v>
      </c>
      <c r="B252" t="s">
        <v>9</v>
      </c>
      <c r="C252">
        <v>-16.39</v>
      </c>
      <c r="D252" t="s">
        <v>140</v>
      </c>
      <c r="E252" t="s">
        <v>305</v>
      </c>
      <c r="G252" t="s">
        <v>62</v>
      </c>
      <c r="I252" t="s">
        <v>65</v>
      </c>
    </row>
    <row r="253" spans="1:9" x14ac:dyDescent="0.25">
      <c r="A253" s="1">
        <v>45861</v>
      </c>
      <c r="B253" t="s">
        <v>9</v>
      </c>
      <c r="C253">
        <v>-90</v>
      </c>
      <c r="D253" t="s">
        <v>93</v>
      </c>
      <c r="E253" t="s">
        <v>306</v>
      </c>
      <c r="G253" t="s">
        <v>62</v>
      </c>
      <c r="I253" t="s">
        <v>307</v>
      </c>
    </row>
    <row r="254" spans="1:9" x14ac:dyDescent="0.25">
      <c r="A254" s="1">
        <v>45861</v>
      </c>
      <c r="B254" t="s">
        <v>29</v>
      </c>
      <c r="C254">
        <v>-10</v>
      </c>
      <c r="D254" t="s">
        <v>10</v>
      </c>
      <c r="E254" t="s">
        <v>308</v>
      </c>
      <c r="G254" t="s">
        <v>57</v>
      </c>
    </row>
    <row r="255" spans="1:9" x14ac:dyDescent="0.25">
      <c r="A255" s="1">
        <v>45861</v>
      </c>
      <c r="B255" t="s">
        <v>13</v>
      </c>
      <c r="C255">
        <v>750</v>
      </c>
      <c r="D255" t="s">
        <v>14</v>
      </c>
      <c r="E255" t="s">
        <v>309</v>
      </c>
      <c r="F255" t="s">
        <v>205</v>
      </c>
      <c r="G255" t="s">
        <v>17</v>
      </c>
    </row>
    <row r="256" spans="1:9" x14ac:dyDescent="0.25">
      <c r="A256" s="1">
        <v>45861</v>
      </c>
      <c r="B256" t="s">
        <v>13</v>
      </c>
      <c r="C256">
        <v>825</v>
      </c>
      <c r="D256" t="s">
        <v>14</v>
      </c>
      <c r="E256" t="s">
        <v>310</v>
      </c>
      <c r="F256" t="s">
        <v>160</v>
      </c>
      <c r="G256" t="s">
        <v>17</v>
      </c>
    </row>
    <row r="257" spans="1:9" x14ac:dyDescent="0.25">
      <c r="A257" s="1">
        <v>45861</v>
      </c>
      <c r="B257" t="s">
        <v>13</v>
      </c>
      <c r="C257">
        <v>750</v>
      </c>
      <c r="D257" t="s">
        <v>14</v>
      </c>
      <c r="E257" t="s">
        <v>221</v>
      </c>
      <c r="F257" t="s">
        <v>124</v>
      </c>
      <c r="G257" t="s">
        <v>17</v>
      </c>
    </row>
    <row r="258" spans="1:9" x14ac:dyDescent="0.25">
      <c r="A258" s="1">
        <v>45861</v>
      </c>
      <c r="B258" t="s">
        <v>13</v>
      </c>
      <c r="C258">
        <v>750</v>
      </c>
      <c r="D258" t="s">
        <v>14</v>
      </c>
      <c r="E258" t="s">
        <v>311</v>
      </c>
      <c r="F258" t="s">
        <v>312</v>
      </c>
      <c r="G258" t="s">
        <v>17</v>
      </c>
    </row>
    <row r="259" spans="1:9" x14ac:dyDescent="0.25">
      <c r="A259" s="1">
        <v>45862</v>
      </c>
      <c r="B259" t="s">
        <v>13</v>
      </c>
      <c r="C259">
        <v>900</v>
      </c>
      <c r="D259" t="s">
        <v>14</v>
      </c>
      <c r="E259" t="s">
        <v>313</v>
      </c>
      <c r="F259" t="s">
        <v>41</v>
      </c>
      <c r="G259" t="s">
        <v>17</v>
      </c>
    </row>
    <row r="260" spans="1:9" x14ac:dyDescent="0.25">
      <c r="A260" s="1">
        <v>45862</v>
      </c>
      <c r="B260" t="s">
        <v>13</v>
      </c>
      <c r="C260">
        <v>-14.98</v>
      </c>
      <c r="D260" t="s">
        <v>24</v>
      </c>
      <c r="E260" t="s">
        <v>314</v>
      </c>
      <c r="F260" t="s">
        <v>256</v>
      </c>
      <c r="G260" t="s">
        <v>81</v>
      </c>
    </row>
    <row r="261" spans="1:9" x14ac:dyDescent="0.25">
      <c r="A261" s="1">
        <v>45862</v>
      </c>
      <c r="B261" t="s">
        <v>13</v>
      </c>
      <c r="C261">
        <v>-16.850000000000001</v>
      </c>
      <c r="D261" t="s">
        <v>75</v>
      </c>
      <c r="E261" t="s">
        <v>315</v>
      </c>
      <c r="F261" t="s">
        <v>402</v>
      </c>
      <c r="G261" t="s">
        <v>392</v>
      </c>
    </row>
    <row r="262" spans="1:9" x14ac:dyDescent="0.25">
      <c r="A262" s="1">
        <v>45862</v>
      </c>
      <c r="B262" t="s">
        <v>9</v>
      </c>
      <c r="C262">
        <v>-6.98</v>
      </c>
      <c r="D262" t="s">
        <v>140</v>
      </c>
      <c r="E262" t="s">
        <v>316</v>
      </c>
      <c r="G262" t="s">
        <v>62</v>
      </c>
      <c r="I262" t="s">
        <v>65</v>
      </c>
    </row>
    <row r="263" spans="1:9" x14ac:dyDescent="0.25">
      <c r="A263" s="1">
        <v>45862</v>
      </c>
      <c r="B263" t="s">
        <v>13</v>
      </c>
      <c r="C263">
        <v>-61.35</v>
      </c>
      <c r="D263" t="s">
        <v>72</v>
      </c>
      <c r="E263" t="s">
        <v>89</v>
      </c>
      <c r="G263" t="s">
        <v>62</v>
      </c>
      <c r="I263" t="s">
        <v>74</v>
      </c>
    </row>
    <row r="264" spans="1:9" x14ac:dyDescent="0.25">
      <c r="A264" s="1">
        <v>45862</v>
      </c>
      <c r="B264" t="s">
        <v>13</v>
      </c>
      <c r="C264">
        <v>-0.6</v>
      </c>
      <c r="D264" t="s">
        <v>149</v>
      </c>
      <c r="E264" t="s">
        <v>317</v>
      </c>
      <c r="F264" s="5" t="s">
        <v>401</v>
      </c>
      <c r="G264" t="s">
        <v>81</v>
      </c>
    </row>
    <row r="265" spans="1:9" x14ac:dyDescent="0.25">
      <c r="A265" s="1">
        <v>45862</v>
      </c>
      <c r="B265" t="s">
        <v>13</v>
      </c>
      <c r="C265">
        <v>-1000</v>
      </c>
      <c r="D265" t="s">
        <v>318</v>
      </c>
      <c r="E265" t="s">
        <v>319</v>
      </c>
      <c r="G265" t="s">
        <v>62</v>
      </c>
      <c r="I265" t="s">
        <v>170</v>
      </c>
    </row>
    <row r="266" spans="1:9" x14ac:dyDescent="0.25">
      <c r="A266" s="1">
        <v>45862</v>
      </c>
      <c r="B266" t="s">
        <v>13</v>
      </c>
      <c r="C266">
        <v>-7.4</v>
      </c>
      <c r="D266" t="s">
        <v>75</v>
      </c>
      <c r="E266" t="s">
        <v>320</v>
      </c>
      <c r="F266" t="s">
        <v>402</v>
      </c>
      <c r="G266" t="s">
        <v>392</v>
      </c>
    </row>
    <row r="267" spans="1:9" x14ac:dyDescent="0.25">
      <c r="A267" s="1">
        <v>45863</v>
      </c>
      <c r="B267" t="s">
        <v>9</v>
      </c>
      <c r="C267">
        <v>-8.5</v>
      </c>
      <c r="D267" t="s">
        <v>93</v>
      </c>
      <c r="E267" t="s">
        <v>321</v>
      </c>
      <c r="G267" t="s">
        <v>62</v>
      </c>
      <c r="I267" t="s">
        <v>102</v>
      </c>
    </row>
    <row r="268" spans="1:9" x14ac:dyDescent="0.25">
      <c r="A268" s="1">
        <v>45863</v>
      </c>
      <c r="B268" t="s">
        <v>9</v>
      </c>
      <c r="C268">
        <v>-44.63</v>
      </c>
      <c r="D268" t="s">
        <v>10</v>
      </c>
      <c r="E268" t="s">
        <v>231</v>
      </c>
      <c r="G268" t="s">
        <v>57</v>
      </c>
    </row>
    <row r="269" spans="1:9" x14ac:dyDescent="0.25">
      <c r="A269" s="1">
        <v>45863</v>
      </c>
      <c r="B269" t="s">
        <v>9</v>
      </c>
      <c r="C269">
        <v>-2</v>
      </c>
      <c r="D269" t="s">
        <v>93</v>
      </c>
      <c r="E269" t="s">
        <v>322</v>
      </c>
      <c r="G269" t="s">
        <v>62</v>
      </c>
      <c r="I269" t="s">
        <v>102</v>
      </c>
    </row>
    <row r="270" spans="1:9" x14ac:dyDescent="0.25">
      <c r="A270" s="4">
        <v>45863</v>
      </c>
      <c r="B270" s="3" t="s">
        <v>13</v>
      </c>
      <c r="C270" s="3">
        <f>770+230</f>
        <v>1000</v>
      </c>
      <c r="D270" s="3" t="s">
        <v>14</v>
      </c>
      <c r="E270" s="3" t="s">
        <v>389</v>
      </c>
      <c r="F270" s="3" t="s">
        <v>43</v>
      </c>
      <c r="G270" s="3" t="s">
        <v>17</v>
      </c>
      <c r="H270" s="3">
        <v>359.99</v>
      </c>
      <c r="I270" s="3"/>
    </row>
    <row r="271" spans="1:9" x14ac:dyDescent="0.25">
      <c r="A271" s="4">
        <v>45863</v>
      </c>
      <c r="B271" s="3" t="s">
        <v>13</v>
      </c>
      <c r="C271" s="3">
        <f>-300-120-136.01-60-24</f>
        <v>-640.01</v>
      </c>
      <c r="D271" s="3" t="s">
        <v>14</v>
      </c>
      <c r="E271" s="3" t="s">
        <v>388</v>
      </c>
      <c r="F271" s="3" t="s">
        <v>43</v>
      </c>
      <c r="G271" s="3" t="s">
        <v>81</v>
      </c>
      <c r="H271" s="3">
        <v>359.99</v>
      </c>
      <c r="I271" s="3"/>
    </row>
    <row r="272" spans="1:9" x14ac:dyDescent="0.25">
      <c r="A272" s="1">
        <v>45863</v>
      </c>
      <c r="B272" t="s">
        <v>13</v>
      </c>
      <c r="C272">
        <v>-16.34</v>
      </c>
      <c r="D272" t="s">
        <v>24</v>
      </c>
      <c r="E272" t="s">
        <v>78</v>
      </c>
      <c r="G272" t="s">
        <v>62</v>
      </c>
      <c r="I272" t="s">
        <v>79</v>
      </c>
    </row>
    <row r="273" spans="1:9" x14ac:dyDescent="0.25">
      <c r="A273" s="1">
        <v>45863</v>
      </c>
      <c r="B273" t="s">
        <v>13</v>
      </c>
      <c r="C273">
        <v>-87.55</v>
      </c>
      <c r="D273" t="s">
        <v>99</v>
      </c>
      <c r="E273" t="s">
        <v>323</v>
      </c>
      <c r="F273" t="s">
        <v>402</v>
      </c>
      <c r="G273" t="s">
        <v>392</v>
      </c>
    </row>
    <row r="274" spans="1:9" x14ac:dyDescent="0.25">
      <c r="A274" s="1">
        <v>45863</v>
      </c>
      <c r="B274" t="s">
        <v>13</v>
      </c>
      <c r="C274">
        <v>695</v>
      </c>
      <c r="D274" t="s">
        <v>14</v>
      </c>
      <c r="E274" t="s">
        <v>324</v>
      </c>
      <c r="F274" t="s">
        <v>39</v>
      </c>
      <c r="G274" t="s">
        <v>17</v>
      </c>
    </row>
    <row r="275" spans="1:9" x14ac:dyDescent="0.25">
      <c r="A275" s="1">
        <v>45863</v>
      </c>
      <c r="B275" t="s">
        <v>46</v>
      </c>
      <c r="C275">
        <v>-1</v>
      </c>
      <c r="D275" t="s">
        <v>93</v>
      </c>
      <c r="E275" t="s">
        <v>101</v>
      </c>
      <c r="G275" t="s">
        <v>62</v>
      </c>
      <c r="I275" t="s">
        <v>102</v>
      </c>
    </row>
    <row r="276" spans="1:9" x14ac:dyDescent="0.25">
      <c r="A276" s="1">
        <v>45863</v>
      </c>
      <c r="B276" t="s">
        <v>46</v>
      </c>
      <c r="C276">
        <v>-26.21</v>
      </c>
      <c r="D276" t="s">
        <v>140</v>
      </c>
      <c r="E276" t="s">
        <v>325</v>
      </c>
      <c r="G276" t="s">
        <v>62</v>
      </c>
      <c r="I276" t="s">
        <v>154</v>
      </c>
    </row>
    <row r="277" spans="1:9" x14ac:dyDescent="0.25">
      <c r="A277" s="1">
        <v>45863</v>
      </c>
      <c r="B277" t="s">
        <v>46</v>
      </c>
      <c r="C277">
        <v>-0.3</v>
      </c>
      <c r="D277" t="s">
        <v>140</v>
      </c>
      <c r="E277" t="s">
        <v>325</v>
      </c>
      <c r="G277" t="s">
        <v>62</v>
      </c>
      <c r="I277" t="s">
        <v>154</v>
      </c>
    </row>
    <row r="278" spans="1:9" x14ac:dyDescent="0.25">
      <c r="A278" s="1">
        <v>45863</v>
      </c>
      <c r="B278" t="s">
        <v>46</v>
      </c>
      <c r="C278">
        <v>-3</v>
      </c>
      <c r="D278" t="s">
        <v>60</v>
      </c>
      <c r="E278" t="s">
        <v>326</v>
      </c>
      <c r="G278" t="s">
        <v>62</v>
      </c>
      <c r="I278" t="s">
        <v>65</v>
      </c>
    </row>
    <row r="279" spans="1:9" x14ac:dyDescent="0.25">
      <c r="A279" s="1">
        <v>45863</v>
      </c>
      <c r="B279" t="s">
        <v>46</v>
      </c>
      <c r="C279">
        <v>-4.25</v>
      </c>
      <c r="D279" t="s">
        <v>60</v>
      </c>
      <c r="E279" t="s">
        <v>327</v>
      </c>
      <c r="G279" t="s">
        <v>62</v>
      </c>
      <c r="I279" t="s">
        <v>74</v>
      </c>
    </row>
    <row r="280" spans="1:9" x14ac:dyDescent="0.25">
      <c r="A280" s="1">
        <v>45863</v>
      </c>
      <c r="B280" t="s">
        <v>13</v>
      </c>
      <c r="C280">
        <v>-1153</v>
      </c>
      <c r="D280" t="s">
        <v>162</v>
      </c>
      <c r="E280" s="2" t="s">
        <v>328</v>
      </c>
      <c r="F280" t="s">
        <v>43</v>
      </c>
      <c r="G280" t="s">
        <v>164</v>
      </c>
    </row>
    <row r="281" spans="1:9" x14ac:dyDescent="0.25">
      <c r="A281" s="1">
        <v>45864</v>
      </c>
      <c r="B281" t="s">
        <v>13</v>
      </c>
      <c r="C281">
        <v>-37.049999999999997</v>
      </c>
      <c r="D281" t="s">
        <v>172</v>
      </c>
      <c r="E281" t="s">
        <v>329</v>
      </c>
      <c r="F281" t="s">
        <v>256</v>
      </c>
      <c r="G281" t="s">
        <v>81</v>
      </c>
    </row>
    <row r="282" spans="1:9" x14ac:dyDescent="0.25">
      <c r="A282" s="1">
        <v>45864</v>
      </c>
      <c r="B282" t="s">
        <v>13</v>
      </c>
      <c r="C282">
        <v>-35.979999999999997</v>
      </c>
      <c r="D282" t="s">
        <v>75</v>
      </c>
      <c r="E282" t="s">
        <v>146</v>
      </c>
      <c r="G282" t="s">
        <v>62</v>
      </c>
      <c r="I282" t="s">
        <v>83</v>
      </c>
    </row>
    <row r="283" spans="1:9" x14ac:dyDescent="0.25">
      <c r="A283" s="1">
        <v>45865</v>
      </c>
      <c r="B283" t="s">
        <v>13</v>
      </c>
      <c r="C283">
        <v>-21.5</v>
      </c>
      <c r="D283" t="s">
        <v>24</v>
      </c>
      <c r="E283" t="s">
        <v>78</v>
      </c>
      <c r="G283" t="s">
        <v>62</v>
      </c>
      <c r="I283" t="s">
        <v>79</v>
      </c>
    </row>
    <row r="284" spans="1:9" x14ac:dyDescent="0.25">
      <c r="A284" s="1">
        <v>45865</v>
      </c>
      <c r="B284" t="s">
        <v>13</v>
      </c>
      <c r="C284">
        <v>-33.75</v>
      </c>
      <c r="D284" t="s">
        <v>72</v>
      </c>
      <c r="E284" t="s">
        <v>89</v>
      </c>
      <c r="G284" t="s">
        <v>62</v>
      </c>
      <c r="I284" t="s">
        <v>74</v>
      </c>
    </row>
    <row r="285" spans="1:9" x14ac:dyDescent="0.25">
      <c r="A285" s="1">
        <v>45865</v>
      </c>
      <c r="B285" t="s">
        <v>13</v>
      </c>
      <c r="C285">
        <v>-8.34</v>
      </c>
      <c r="D285" t="s">
        <v>75</v>
      </c>
      <c r="E285" t="s">
        <v>330</v>
      </c>
      <c r="G285" t="s">
        <v>62</v>
      </c>
      <c r="I285" t="s">
        <v>148</v>
      </c>
    </row>
    <row r="286" spans="1:9" x14ac:dyDescent="0.25">
      <c r="A286" s="1">
        <v>45865</v>
      </c>
      <c r="B286" t="s">
        <v>13</v>
      </c>
      <c r="C286">
        <v>-8.99</v>
      </c>
      <c r="D286" t="s">
        <v>172</v>
      </c>
      <c r="E286" t="s">
        <v>179</v>
      </c>
      <c r="G286" t="s">
        <v>62</v>
      </c>
      <c r="I286" t="s">
        <v>180</v>
      </c>
    </row>
    <row r="287" spans="1:9" x14ac:dyDescent="0.25">
      <c r="A287" s="1">
        <v>45865</v>
      </c>
      <c r="B287" t="s">
        <v>13</v>
      </c>
      <c r="C287">
        <v>-8.99</v>
      </c>
      <c r="D287" t="s">
        <v>214</v>
      </c>
      <c r="E287" t="s">
        <v>331</v>
      </c>
      <c r="F287" s="5" t="s">
        <v>401</v>
      </c>
      <c r="G287" t="s">
        <v>81</v>
      </c>
    </row>
    <row r="288" spans="1:9" x14ac:dyDescent="0.25">
      <c r="A288" s="1">
        <v>45865</v>
      </c>
      <c r="B288" t="s">
        <v>13</v>
      </c>
      <c r="C288">
        <v>-150</v>
      </c>
      <c r="D288" t="s">
        <v>24</v>
      </c>
      <c r="E288" t="s">
        <v>332</v>
      </c>
      <c r="F288" t="s">
        <v>369</v>
      </c>
      <c r="G288" t="s">
        <v>81</v>
      </c>
    </row>
    <row r="289" spans="1:9" x14ac:dyDescent="0.25">
      <c r="A289" s="1">
        <v>45866</v>
      </c>
      <c r="B289" t="s">
        <v>29</v>
      </c>
      <c r="C289">
        <v>-497.58</v>
      </c>
      <c r="D289" t="s">
        <v>10</v>
      </c>
      <c r="E289" t="s">
        <v>333</v>
      </c>
      <c r="G289" t="s">
        <v>57</v>
      </c>
      <c r="I289" t="s">
        <v>403</v>
      </c>
    </row>
    <row r="290" spans="1:9" x14ac:dyDescent="0.25">
      <c r="A290" s="1">
        <v>45866</v>
      </c>
      <c r="B290" t="s">
        <v>13</v>
      </c>
      <c r="C290">
        <v>-33.21</v>
      </c>
      <c r="D290" t="s">
        <v>75</v>
      </c>
      <c r="E290" t="s">
        <v>191</v>
      </c>
      <c r="G290" t="s">
        <v>62</v>
      </c>
      <c r="I290" t="s">
        <v>394</v>
      </c>
    </row>
    <row r="291" spans="1:9" x14ac:dyDescent="0.25">
      <c r="A291" s="1">
        <v>45866</v>
      </c>
      <c r="B291" t="s">
        <v>29</v>
      </c>
      <c r="C291">
        <v>1056.58</v>
      </c>
      <c r="D291" t="s">
        <v>47</v>
      </c>
      <c r="E291" t="s">
        <v>71</v>
      </c>
      <c r="G291" t="s">
        <v>400</v>
      </c>
    </row>
    <row r="292" spans="1:9" x14ac:dyDescent="0.25">
      <c r="A292" s="1">
        <v>45866</v>
      </c>
      <c r="B292" t="s">
        <v>9</v>
      </c>
      <c r="C292">
        <v>-3.99</v>
      </c>
      <c r="D292" t="s">
        <v>60</v>
      </c>
      <c r="E292" t="s">
        <v>334</v>
      </c>
      <c r="G292" t="s">
        <v>62</v>
      </c>
      <c r="I292" t="s">
        <v>65</v>
      </c>
    </row>
    <row r="293" spans="1:9" x14ac:dyDescent="0.25">
      <c r="A293" s="1">
        <v>45866</v>
      </c>
      <c r="B293" t="s">
        <v>9</v>
      </c>
      <c r="C293">
        <v>-14.99</v>
      </c>
      <c r="D293" t="s">
        <v>60</v>
      </c>
      <c r="E293" t="s">
        <v>335</v>
      </c>
      <c r="G293" t="s">
        <v>62</v>
      </c>
      <c r="I293" t="s">
        <v>63</v>
      </c>
    </row>
    <row r="294" spans="1:9" x14ac:dyDescent="0.25">
      <c r="A294" s="1">
        <v>45866</v>
      </c>
      <c r="B294" t="s">
        <v>29</v>
      </c>
      <c r="C294">
        <v>-38</v>
      </c>
      <c r="D294" t="s">
        <v>10</v>
      </c>
      <c r="E294" t="s">
        <v>336</v>
      </c>
      <c r="G294" t="s">
        <v>62</v>
      </c>
      <c r="I294" t="s">
        <v>218</v>
      </c>
    </row>
    <row r="295" spans="1:9" x14ac:dyDescent="0.25">
      <c r="A295" s="1">
        <v>45866</v>
      </c>
      <c r="B295" t="s">
        <v>46</v>
      </c>
      <c r="C295">
        <v>-6</v>
      </c>
      <c r="D295" t="s">
        <v>93</v>
      </c>
      <c r="E295" t="s">
        <v>337</v>
      </c>
      <c r="G295" t="s">
        <v>62</v>
      </c>
      <c r="I295" t="s">
        <v>102</v>
      </c>
    </row>
    <row r="296" spans="1:9" x14ac:dyDescent="0.25">
      <c r="A296" s="1">
        <v>45866</v>
      </c>
      <c r="B296" t="s">
        <v>29</v>
      </c>
      <c r="C296">
        <v>-27.42</v>
      </c>
      <c r="D296" t="s">
        <v>10</v>
      </c>
      <c r="E296" t="s">
        <v>338</v>
      </c>
      <c r="G296" t="s">
        <v>57</v>
      </c>
    </row>
    <row r="297" spans="1:9" x14ac:dyDescent="0.25">
      <c r="A297" s="1">
        <v>45866</v>
      </c>
      <c r="B297" t="s">
        <v>13</v>
      </c>
      <c r="C297">
        <v>-1.99</v>
      </c>
      <c r="D297" t="s">
        <v>339</v>
      </c>
      <c r="E297" t="s">
        <v>340</v>
      </c>
      <c r="G297" t="s">
        <v>62</v>
      </c>
      <c r="I297" t="s">
        <v>65</v>
      </c>
    </row>
    <row r="298" spans="1:9" x14ac:dyDescent="0.25">
      <c r="A298" s="1">
        <v>45866</v>
      </c>
      <c r="B298" t="s">
        <v>13</v>
      </c>
      <c r="C298">
        <v>1125</v>
      </c>
      <c r="D298" t="s">
        <v>14</v>
      </c>
      <c r="E298" s="2" t="s">
        <v>341</v>
      </c>
      <c r="G298" t="s">
        <v>164</v>
      </c>
    </row>
    <row r="299" spans="1:9" x14ac:dyDescent="0.25">
      <c r="A299" s="1">
        <v>45866</v>
      </c>
      <c r="B299" t="s">
        <v>13</v>
      </c>
      <c r="C299">
        <v>-92.97</v>
      </c>
      <c r="D299" t="s">
        <v>172</v>
      </c>
      <c r="E299" t="s">
        <v>342</v>
      </c>
      <c r="F299" t="s">
        <v>256</v>
      </c>
      <c r="G299" t="s">
        <v>81</v>
      </c>
    </row>
    <row r="300" spans="1:9" x14ac:dyDescent="0.25">
      <c r="A300" s="1">
        <v>45866</v>
      </c>
      <c r="B300" t="s">
        <v>46</v>
      </c>
      <c r="C300">
        <v>-1</v>
      </c>
      <c r="D300" t="s">
        <v>93</v>
      </c>
      <c r="E300" t="s">
        <v>101</v>
      </c>
      <c r="G300" t="s">
        <v>62</v>
      </c>
      <c r="I300" t="s">
        <v>102</v>
      </c>
    </row>
    <row r="301" spans="1:9" x14ac:dyDescent="0.25">
      <c r="A301" s="1">
        <v>45866</v>
      </c>
      <c r="B301" t="s">
        <v>13</v>
      </c>
      <c r="C301">
        <v>-10.76</v>
      </c>
      <c r="D301" t="s">
        <v>53</v>
      </c>
      <c r="E301" t="s">
        <v>343</v>
      </c>
      <c r="G301" t="s">
        <v>62</v>
      </c>
      <c r="I301" t="s">
        <v>377</v>
      </c>
    </row>
    <row r="302" spans="1:9" x14ac:dyDescent="0.25">
      <c r="A302" s="1">
        <v>45866</v>
      </c>
      <c r="B302" t="s">
        <v>13</v>
      </c>
      <c r="C302">
        <v>-31.26</v>
      </c>
      <c r="D302" t="s">
        <v>75</v>
      </c>
      <c r="E302" t="s">
        <v>304</v>
      </c>
      <c r="G302" t="s">
        <v>62</v>
      </c>
      <c r="I302" t="s">
        <v>154</v>
      </c>
    </row>
    <row r="303" spans="1:9" x14ac:dyDescent="0.25">
      <c r="A303" s="1">
        <v>45866</v>
      </c>
      <c r="B303" t="s">
        <v>13</v>
      </c>
      <c r="C303">
        <v>-1056.58</v>
      </c>
      <c r="D303" t="s">
        <v>68</v>
      </c>
      <c r="E303" t="s">
        <v>69</v>
      </c>
      <c r="G303" t="s">
        <v>70</v>
      </c>
    </row>
    <row r="304" spans="1:9" x14ac:dyDescent="0.25">
      <c r="A304" s="1">
        <v>45866</v>
      </c>
      <c r="B304" t="s">
        <v>13</v>
      </c>
      <c r="C304">
        <v>-65</v>
      </c>
      <c r="D304" t="s">
        <v>24</v>
      </c>
      <c r="E304" t="s">
        <v>344</v>
      </c>
      <c r="F304" t="s">
        <v>45</v>
      </c>
      <c r="G304" t="s">
        <v>81</v>
      </c>
    </row>
    <row r="305" spans="1:9" x14ac:dyDescent="0.25">
      <c r="A305" s="1">
        <v>45866</v>
      </c>
      <c r="B305" t="s">
        <v>13</v>
      </c>
      <c r="C305">
        <v>-100</v>
      </c>
      <c r="D305" t="s">
        <v>24</v>
      </c>
      <c r="E305" t="s">
        <v>345</v>
      </c>
      <c r="F305" t="s">
        <v>45</v>
      </c>
      <c r="G305" t="s">
        <v>81</v>
      </c>
    </row>
    <row r="306" spans="1:9" x14ac:dyDescent="0.25">
      <c r="A306" s="1">
        <v>45866</v>
      </c>
      <c r="B306" t="s">
        <v>13</v>
      </c>
      <c r="C306">
        <v>875</v>
      </c>
      <c r="D306" t="s">
        <v>14</v>
      </c>
      <c r="E306" t="s">
        <v>346</v>
      </c>
      <c r="F306" t="s">
        <v>117</v>
      </c>
      <c r="G306" t="s">
        <v>17</v>
      </c>
    </row>
    <row r="307" spans="1:9" x14ac:dyDescent="0.25">
      <c r="A307" s="1">
        <v>45866</v>
      </c>
      <c r="B307" t="s">
        <v>13</v>
      </c>
      <c r="C307">
        <v>825</v>
      </c>
      <c r="D307" t="s">
        <v>14</v>
      </c>
      <c r="E307" t="s">
        <v>347</v>
      </c>
      <c r="F307" t="s">
        <v>201</v>
      </c>
      <c r="G307" t="s">
        <v>17</v>
      </c>
    </row>
    <row r="308" spans="1:9" x14ac:dyDescent="0.25">
      <c r="A308" s="1">
        <v>45866</v>
      </c>
      <c r="B308" t="s">
        <v>13</v>
      </c>
      <c r="C308">
        <v>-4</v>
      </c>
      <c r="D308" t="s">
        <v>99</v>
      </c>
      <c r="E308" t="s">
        <v>176</v>
      </c>
      <c r="G308" t="s">
        <v>62</v>
      </c>
      <c r="I308" t="s">
        <v>65</v>
      </c>
    </row>
    <row r="309" spans="1:9" x14ac:dyDescent="0.25">
      <c r="A309" s="1">
        <v>45866</v>
      </c>
      <c r="B309" t="s">
        <v>13</v>
      </c>
      <c r="C309">
        <v>-21.41</v>
      </c>
      <c r="D309" t="s">
        <v>75</v>
      </c>
      <c r="E309" t="s">
        <v>183</v>
      </c>
      <c r="G309" t="s">
        <v>62</v>
      </c>
      <c r="I309" t="s">
        <v>184</v>
      </c>
    </row>
    <row r="310" spans="1:9" x14ac:dyDescent="0.25">
      <c r="A310" s="1">
        <v>45866</v>
      </c>
      <c r="B310" t="s">
        <v>13</v>
      </c>
      <c r="C310">
        <v>850</v>
      </c>
      <c r="D310" t="s">
        <v>14</v>
      </c>
      <c r="E310" t="s">
        <v>348</v>
      </c>
      <c r="F310" t="s">
        <v>236</v>
      </c>
      <c r="G310" t="s">
        <v>17</v>
      </c>
    </row>
    <row r="311" spans="1:9" x14ac:dyDescent="0.25">
      <c r="A311" s="4">
        <v>45867</v>
      </c>
      <c r="B311" s="3" t="s">
        <v>13</v>
      </c>
      <c r="C311" s="3">
        <f>196+196+458</f>
        <v>850</v>
      </c>
      <c r="D311" s="3" t="s">
        <v>14</v>
      </c>
      <c r="E311" s="3" t="s">
        <v>387</v>
      </c>
      <c r="F311" s="3" t="s">
        <v>45</v>
      </c>
      <c r="G311" s="3" t="s">
        <v>17</v>
      </c>
      <c r="H311" s="3" t="s">
        <v>386</v>
      </c>
      <c r="I311" s="3"/>
    </row>
    <row r="312" spans="1:9" x14ac:dyDescent="0.25">
      <c r="A312" s="4">
        <v>45867</v>
      </c>
      <c r="B312" s="3" t="s">
        <v>13</v>
      </c>
      <c r="C312" s="3">
        <f>-300-120-75.6-120-48</f>
        <v>-663.6</v>
      </c>
      <c r="D312" s="3" t="s">
        <v>14</v>
      </c>
      <c r="E312" s="3" t="s">
        <v>388</v>
      </c>
      <c r="F312" s="3" t="s">
        <v>45</v>
      </c>
      <c r="G312" s="3" t="s">
        <v>81</v>
      </c>
      <c r="H312" s="3" t="s">
        <v>386</v>
      </c>
      <c r="I312" s="3"/>
    </row>
    <row r="313" spans="1:9" x14ac:dyDescent="0.25">
      <c r="A313" s="1">
        <v>45867</v>
      </c>
      <c r="B313" t="s">
        <v>13</v>
      </c>
      <c r="C313">
        <v>-14.75</v>
      </c>
      <c r="D313" t="s">
        <v>24</v>
      </c>
      <c r="E313" t="s">
        <v>78</v>
      </c>
      <c r="G313" t="s">
        <v>62</v>
      </c>
      <c r="I313" t="s">
        <v>79</v>
      </c>
    </row>
    <row r="314" spans="1:9" x14ac:dyDescent="0.25">
      <c r="A314" s="1">
        <v>45867</v>
      </c>
      <c r="B314" t="s">
        <v>13</v>
      </c>
      <c r="C314">
        <v>-0.2</v>
      </c>
      <c r="D314" t="s">
        <v>24</v>
      </c>
      <c r="E314" t="s">
        <v>78</v>
      </c>
      <c r="G314" t="s">
        <v>62</v>
      </c>
      <c r="I314" t="s">
        <v>79</v>
      </c>
    </row>
    <row r="315" spans="1:9" x14ac:dyDescent="0.25">
      <c r="A315" s="1">
        <v>45867</v>
      </c>
      <c r="B315" t="s">
        <v>13</v>
      </c>
      <c r="C315">
        <v>-2.34</v>
      </c>
      <c r="D315" t="s">
        <v>24</v>
      </c>
      <c r="E315" t="s">
        <v>78</v>
      </c>
      <c r="G315" t="s">
        <v>62</v>
      </c>
      <c r="I315" t="s">
        <v>79</v>
      </c>
    </row>
    <row r="316" spans="1:9" x14ac:dyDescent="0.25">
      <c r="A316" s="1">
        <v>45867</v>
      </c>
      <c r="B316" t="s">
        <v>13</v>
      </c>
      <c r="C316">
        <v>-3.87</v>
      </c>
      <c r="D316" t="s">
        <v>24</v>
      </c>
      <c r="E316" t="s">
        <v>78</v>
      </c>
      <c r="G316" t="s">
        <v>62</v>
      </c>
      <c r="I316" t="s">
        <v>79</v>
      </c>
    </row>
    <row r="317" spans="1:9" x14ac:dyDescent="0.25">
      <c r="A317" s="1">
        <v>45867</v>
      </c>
      <c r="B317" t="s">
        <v>13</v>
      </c>
      <c r="C317">
        <v>-63.75</v>
      </c>
      <c r="D317" t="s">
        <v>99</v>
      </c>
      <c r="E317" t="s">
        <v>349</v>
      </c>
      <c r="G317" t="s">
        <v>62</v>
      </c>
      <c r="I317" t="s">
        <v>307</v>
      </c>
    </row>
    <row r="318" spans="1:9" x14ac:dyDescent="0.25">
      <c r="A318" s="1">
        <v>45867</v>
      </c>
      <c r="B318" t="s">
        <v>9</v>
      </c>
      <c r="C318">
        <v>-20</v>
      </c>
      <c r="D318" t="s">
        <v>93</v>
      </c>
      <c r="E318" t="s">
        <v>350</v>
      </c>
      <c r="G318" t="s">
        <v>62</v>
      </c>
      <c r="I318" t="s">
        <v>307</v>
      </c>
    </row>
    <row r="319" spans="1:9" x14ac:dyDescent="0.25">
      <c r="A319" s="1">
        <v>45867</v>
      </c>
      <c r="B319" t="s">
        <v>29</v>
      </c>
      <c r="C319">
        <v>-330.5</v>
      </c>
      <c r="D319" t="s">
        <v>10</v>
      </c>
      <c r="E319" s="2" t="s">
        <v>351</v>
      </c>
      <c r="F319" t="s">
        <v>50</v>
      </c>
      <c r="G319" t="s">
        <v>31</v>
      </c>
    </row>
    <row r="320" spans="1:9" x14ac:dyDescent="0.25">
      <c r="A320" s="1">
        <v>45867</v>
      </c>
      <c r="B320" t="s">
        <v>46</v>
      </c>
      <c r="C320">
        <v>300</v>
      </c>
      <c r="D320" t="s">
        <v>47</v>
      </c>
      <c r="E320" t="s">
        <v>48</v>
      </c>
      <c r="G320" t="s">
        <v>399</v>
      </c>
    </row>
    <row r="321" spans="1:9" x14ac:dyDescent="0.25">
      <c r="A321" s="1">
        <v>45868</v>
      </c>
      <c r="B321" t="s">
        <v>13</v>
      </c>
      <c r="C321">
        <v>-44.98</v>
      </c>
      <c r="D321" t="s">
        <v>172</v>
      </c>
      <c r="E321" t="s">
        <v>179</v>
      </c>
      <c r="G321" t="s">
        <v>62</v>
      </c>
      <c r="I321" t="s">
        <v>180</v>
      </c>
    </row>
    <row r="322" spans="1:9" x14ac:dyDescent="0.25">
      <c r="A322" s="1">
        <v>45868</v>
      </c>
      <c r="B322" t="s">
        <v>13</v>
      </c>
      <c r="C322">
        <v>-80</v>
      </c>
      <c r="D322" t="s">
        <v>172</v>
      </c>
      <c r="E322" t="s">
        <v>352</v>
      </c>
      <c r="G322" t="s">
        <v>62</v>
      </c>
      <c r="I322" t="s">
        <v>396</v>
      </c>
    </row>
    <row r="323" spans="1:9" x14ac:dyDescent="0.25">
      <c r="A323" s="1">
        <v>45868</v>
      </c>
      <c r="B323" t="s">
        <v>13</v>
      </c>
      <c r="C323">
        <v>-46</v>
      </c>
      <c r="D323" t="s">
        <v>99</v>
      </c>
      <c r="E323" t="s">
        <v>353</v>
      </c>
      <c r="G323" t="s">
        <v>62</v>
      </c>
      <c r="I323" t="s">
        <v>218</v>
      </c>
    </row>
    <row r="324" spans="1:9" x14ac:dyDescent="0.25">
      <c r="A324" s="1">
        <v>45868</v>
      </c>
      <c r="B324" t="s">
        <v>13</v>
      </c>
      <c r="C324">
        <v>-20</v>
      </c>
      <c r="D324" t="s">
        <v>172</v>
      </c>
      <c r="E324" t="s">
        <v>354</v>
      </c>
      <c r="G324" t="s">
        <v>62</v>
      </c>
      <c r="I324" t="s">
        <v>180</v>
      </c>
    </row>
    <row r="325" spans="1:9" x14ac:dyDescent="0.25">
      <c r="A325" s="1">
        <v>45868</v>
      </c>
      <c r="B325" t="s">
        <v>13</v>
      </c>
      <c r="C325">
        <v>905</v>
      </c>
      <c r="D325" t="s">
        <v>14</v>
      </c>
      <c r="E325" t="s">
        <v>355</v>
      </c>
      <c r="F325" t="s">
        <v>208</v>
      </c>
      <c r="G325" t="s">
        <v>17</v>
      </c>
    </row>
    <row r="326" spans="1:9" x14ac:dyDescent="0.25">
      <c r="A326" s="1">
        <v>45868</v>
      </c>
      <c r="B326" t="s">
        <v>13</v>
      </c>
      <c r="C326">
        <v>-11.98</v>
      </c>
      <c r="D326" t="s">
        <v>172</v>
      </c>
      <c r="E326" t="s">
        <v>179</v>
      </c>
      <c r="G326" t="s">
        <v>62</v>
      </c>
      <c r="I326" t="s">
        <v>180</v>
      </c>
    </row>
    <row r="327" spans="1:9" x14ac:dyDescent="0.25">
      <c r="A327" s="1">
        <v>45868</v>
      </c>
      <c r="B327" t="s">
        <v>13</v>
      </c>
      <c r="C327">
        <v>-60.81</v>
      </c>
      <c r="D327" t="s">
        <v>172</v>
      </c>
      <c r="E327" t="s">
        <v>356</v>
      </c>
      <c r="G327" t="s">
        <v>62</v>
      </c>
      <c r="I327" t="s">
        <v>180</v>
      </c>
    </row>
    <row r="328" spans="1:9" x14ac:dyDescent="0.25">
      <c r="A328" s="1">
        <v>45868</v>
      </c>
      <c r="B328" t="s">
        <v>13</v>
      </c>
      <c r="C328">
        <v>-44.95</v>
      </c>
      <c r="D328" t="s">
        <v>172</v>
      </c>
      <c r="E328" t="s">
        <v>356</v>
      </c>
      <c r="G328" t="s">
        <v>62</v>
      </c>
      <c r="I328" t="s">
        <v>180</v>
      </c>
    </row>
    <row r="329" spans="1:9" x14ac:dyDescent="0.25">
      <c r="A329" s="1">
        <v>45868</v>
      </c>
      <c r="B329" t="s">
        <v>13</v>
      </c>
      <c r="C329">
        <v>-0.5</v>
      </c>
      <c r="D329" t="s">
        <v>357</v>
      </c>
      <c r="E329" t="s">
        <v>358</v>
      </c>
      <c r="G329" t="s">
        <v>62</v>
      </c>
      <c r="I329" t="s">
        <v>396</v>
      </c>
    </row>
    <row r="330" spans="1:9" x14ac:dyDescent="0.25">
      <c r="A330" s="1">
        <v>45868</v>
      </c>
      <c r="B330" t="s">
        <v>13</v>
      </c>
      <c r="C330">
        <v>-4</v>
      </c>
      <c r="D330" t="s">
        <v>99</v>
      </c>
      <c r="E330" t="s">
        <v>176</v>
      </c>
      <c r="G330" t="s">
        <v>62</v>
      </c>
      <c r="I330" t="s">
        <v>65</v>
      </c>
    </row>
    <row r="331" spans="1:9" x14ac:dyDescent="0.25">
      <c r="A331" s="1">
        <v>45868</v>
      </c>
      <c r="B331" t="s">
        <v>46</v>
      </c>
      <c r="C331">
        <v>-33.15</v>
      </c>
      <c r="D331" t="s">
        <v>140</v>
      </c>
      <c r="E331" t="s">
        <v>359</v>
      </c>
      <c r="G331" t="s">
        <v>62</v>
      </c>
      <c r="I331" t="s">
        <v>184</v>
      </c>
    </row>
    <row r="332" spans="1:9" x14ac:dyDescent="0.25">
      <c r="A332" s="1">
        <v>45868</v>
      </c>
      <c r="B332" t="s">
        <v>46</v>
      </c>
      <c r="C332">
        <v>-2.5</v>
      </c>
      <c r="D332" t="s">
        <v>140</v>
      </c>
      <c r="E332" t="s">
        <v>360</v>
      </c>
      <c r="G332" t="s">
        <v>62</v>
      </c>
      <c r="I332" t="s">
        <v>65</v>
      </c>
    </row>
    <row r="333" spans="1:9" x14ac:dyDescent="0.25">
      <c r="A333" s="1">
        <v>45868</v>
      </c>
      <c r="B333" t="s">
        <v>46</v>
      </c>
      <c r="C333">
        <v>-6</v>
      </c>
      <c r="D333" t="s">
        <v>93</v>
      </c>
      <c r="E333" t="s">
        <v>101</v>
      </c>
      <c r="G333" t="s">
        <v>62</v>
      </c>
      <c r="I333" t="s">
        <v>102</v>
      </c>
    </row>
    <row r="334" spans="1:9" x14ac:dyDescent="0.25">
      <c r="A334" s="1">
        <v>45868</v>
      </c>
      <c r="B334" t="s">
        <v>46</v>
      </c>
      <c r="C334">
        <v>-0.85</v>
      </c>
      <c r="D334" t="s">
        <v>140</v>
      </c>
      <c r="E334" t="s">
        <v>361</v>
      </c>
      <c r="G334" t="s">
        <v>62</v>
      </c>
      <c r="I334" t="s">
        <v>79</v>
      </c>
    </row>
    <row r="335" spans="1:9" x14ac:dyDescent="0.25">
      <c r="A335" s="1">
        <v>45869</v>
      </c>
      <c r="B335" t="s">
        <v>13</v>
      </c>
      <c r="C335">
        <v>525</v>
      </c>
      <c r="D335" t="s">
        <v>14</v>
      </c>
      <c r="E335" t="s">
        <v>22</v>
      </c>
      <c r="F335" t="s">
        <v>23</v>
      </c>
      <c r="G335" t="s">
        <v>17</v>
      </c>
    </row>
    <row r="336" spans="1:9" x14ac:dyDescent="0.25">
      <c r="A336" s="1">
        <v>45869</v>
      </c>
      <c r="B336" t="s">
        <v>13</v>
      </c>
      <c r="C336">
        <v>525</v>
      </c>
      <c r="D336" t="s">
        <v>14</v>
      </c>
      <c r="E336" t="s">
        <v>362</v>
      </c>
      <c r="F336" t="s">
        <v>23</v>
      </c>
      <c r="G336" t="s">
        <v>17</v>
      </c>
    </row>
    <row r="337" spans="1:9" x14ac:dyDescent="0.25">
      <c r="A337" s="1">
        <v>45869</v>
      </c>
      <c r="B337" t="s">
        <v>13</v>
      </c>
      <c r="C337">
        <v>-2.77</v>
      </c>
      <c r="D337" t="s">
        <v>214</v>
      </c>
      <c r="E337" t="s">
        <v>363</v>
      </c>
      <c r="F337" t="s">
        <v>139</v>
      </c>
      <c r="G337" t="s">
        <v>81</v>
      </c>
    </row>
    <row r="338" spans="1:9" x14ac:dyDescent="0.25">
      <c r="A338" s="1">
        <v>45869</v>
      </c>
      <c r="B338" t="s">
        <v>13</v>
      </c>
      <c r="C338">
        <v>-2.77</v>
      </c>
      <c r="D338" t="s">
        <v>214</v>
      </c>
      <c r="E338" t="s">
        <v>364</v>
      </c>
      <c r="F338" s="5" t="s">
        <v>401</v>
      </c>
      <c r="G338" t="s">
        <v>81</v>
      </c>
    </row>
    <row r="339" spans="1:9" x14ac:dyDescent="0.25">
      <c r="A339" s="1">
        <v>45869</v>
      </c>
      <c r="B339" t="s">
        <v>13</v>
      </c>
      <c r="C339">
        <v>725</v>
      </c>
      <c r="D339" t="s">
        <v>14</v>
      </c>
      <c r="E339" t="s">
        <v>365</v>
      </c>
      <c r="F339" t="s">
        <v>106</v>
      </c>
      <c r="G339" t="s">
        <v>62</v>
      </c>
      <c r="I339" t="s">
        <v>154</v>
      </c>
    </row>
    <row r="340" spans="1:9" x14ac:dyDescent="0.25">
      <c r="A340" s="1">
        <v>45869</v>
      </c>
      <c r="B340" t="s">
        <v>13</v>
      </c>
      <c r="C340">
        <v>1681</v>
      </c>
      <c r="D340" t="s">
        <v>14</v>
      </c>
      <c r="E340" t="s">
        <v>366</v>
      </c>
      <c r="F340" t="s">
        <v>127</v>
      </c>
      <c r="G340" t="s">
        <v>17</v>
      </c>
    </row>
    <row r="341" spans="1:9" x14ac:dyDescent="0.25">
      <c r="A341" s="1">
        <v>45869</v>
      </c>
      <c r="B341" t="s">
        <v>13</v>
      </c>
      <c r="C341">
        <v>-2236.3000000000002</v>
      </c>
      <c r="D341" t="s">
        <v>68</v>
      </c>
      <c r="E341" t="s">
        <v>69</v>
      </c>
      <c r="G341" t="s">
        <v>70</v>
      </c>
    </row>
    <row r="342" spans="1:9" x14ac:dyDescent="0.25">
      <c r="A342" s="1">
        <v>45869</v>
      </c>
      <c r="B342" t="s">
        <v>13</v>
      </c>
      <c r="C342">
        <v>-310</v>
      </c>
      <c r="D342" t="s">
        <v>172</v>
      </c>
      <c r="E342" t="s">
        <v>367</v>
      </c>
      <c r="F342" s="5" t="s">
        <v>401</v>
      </c>
      <c r="G342" t="s">
        <v>81</v>
      </c>
    </row>
    <row r="343" spans="1:9" x14ac:dyDescent="0.25">
      <c r="A343" s="1">
        <v>45869</v>
      </c>
      <c r="B343" t="s">
        <v>13</v>
      </c>
      <c r="C343">
        <v>222.67</v>
      </c>
      <c r="D343" t="s">
        <v>14</v>
      </c>
      <c r="E343" t="s">
        <v>368</v>
      </c>
      <c r="F343" t="s">
        <v>211</v>
      </c>
      <c r="G343" t="s">
        <v>164</v>
      </c>
    </row>
    <row r="344" spans="1:9" x14ac:dyDescent="0.25">
      <c r="A344" s="1">
        <v>45869</v>
      </c>
      <c r="B344" t="s">
        <v>13</v>
      </c>
      <c r="C344">
        <v>-18</v>
      </c>
      <c r="D344" t="s">
        <v>24</v>
      </c>
      <c r="E344" t="s">
        <v>370</v>
      </c>
      <c r="F344" t="s">
        <v>124</v>
      </c>
      <c r="G344" t="s">
        <v>81</v>
      </c>
    </row>
    <row r="345" spans="1:9" x14ac:dyDescent="0.25">
      <c r="A345" s="1">
        <v>45869</v>
      </c>
      <c r="B345" t="s">
        <v>29</v>
      </c>
      <c r="C345">
        <v>-487.34</v>
      </c>
      <c r="D345" t="s">
        <v>10</v>
      </c>
      <c r="E345" s="2" t="s">
        <v>371</v>
      </c>
      <c r="F345" t="s">
        <v>312</v>
      </c>
      <c r="G345" t="s">
        <v>31</v>
      </c>
    </row>
    <row r="346" spans="1:9" x14ac:dyDescent="0.25">
      <c r="A346" s="1">
        <v>45869</v>
      </c>
      <c r="B346" t="s">
        <v>29</v>
      </c>
      <c r="C346">
        <v>-472.82</v>
      </c>
      <c r="D346" t="s">
        <v>10</v>
      </c>
      <c r="E346" s="2" t="s">
        <v>372</v>
      </c>
      <c r="F346" t="s">
        <v>137</v>
      </c>
      <c r="G346" t="s">
        <v>31</v>
      </c>
    </row>
    <row r="347" spans="1:9" x14ac:dyDescent="0.25">
      <c r="A347" s="1">
        <v>45869</v>
      </c>
      <c r="B347" t="s">
        <v>29</v>
      </c>
      <c r="C347">
        <v>-472.82</v>
      </c>
      <c r="D347" t="s">
        <v>10</v>
      </c>
      <c r="E347" s="2" t="s">
        <v>373</v>
      </c>
      <c r="F347" t="s">
        <v>369</v>
      </c>
      <c r="G347" t="s">
        <v>31</v>
      </c>
    </row>
    <row r="348" spans="1:9" x14ac:dyDescent="0.25">
      <c r="A348" s="1">
        <v>45869</v>
      </c>
      <c r="B348" t="s">
        <v>29</v>
      </c>
      <c r="C348">
        <v>-472.82</v>
      </c>
      <c r="D348" t="s">
        <v>10</v>
      </c>
      <c r="E348" s="2" t="s">
        <v>374</v>
      </c>
      <c r="F348" t="s">
        <v>375</v>
      </c>
      <c r="G348" t="s">
        <v>31</v>
      </c>
    </row>
    <row r="349" spans="1:9" x14ac:dyDescent="0.25">
      <c r="A349" s="1">
        <v>45869</v>
      </c>
      <c r="B349" t="s">
        <v>29</v>
      </c>
      <c r="C349">
        <v>2236.3000000000002</v>
      </c>
      <c r="D349" t="s">
        <v>47</v>
      </c>
      <c r="E349" t="s">
        <v>71</v>
      </c>
      <c r="G349" t="s">
        <v>400</v>
      </c>
    </row>
    <row r="350" spans="1:9" x14ac:dyDescent="0.25">
      <c r="A350" s="1">
        <v>45869</v>
      </c>
      <c r="B350" t="s">
        <v>46</v>
      </c>
      <c r="C350">
        <v>-16.940000000000001</v>
      </c>
      <c r="D350" t="s">
        <v>140</v>
      </c>
      <c r="E350" t="s">
        <v>376</v>
      </c>
      <c r="G350" t="s">
        <v>62</v>
      </c>
      <c r="I350" t="s">
        <v>377</v>
      </c>
    </row>
    <row r="351" spans="1:9" x14ac:dyDescent="0.25">
      <c r="A351" s="1">
        <v>45869</v>
      </c>
      <c r="B351" t="s">
        <v>46</v>
      </c>
      <c r="C351">
        <v>-16.2</v>
      </c>
      <c r="D351" t="s">
        <v>140</v>
      </c>
      <c r="E351" t="s">
        <v>378</v>
      </c>
      <c r="G351" t="s">
        <v>62</v>
      </c>
      <c r="I351" t="s">
        <v>83</v>
      </c>
    </row>
    <row r="352" spans="1:9" x14ac:dyDescent="0.25">
      <c r="A352" s="1">
        <v>45869</v>
      </c>
      <c r="B352" t="s">
        <v>46</v>
      </c>
      <c r="C352">
        <v>-17.91</v>
      </c>
      <c r="D352" t="s">
        <v>140</v>
      </c>
      <c r="E352" t="s">
        <v>379</v>
      </c>
      <c r="G352" t="s">
        <v>62</v>
      </c>
      <c r="I352" t="s">
        <v>142</v>
      </c>
    </row>
    <row r="353" spans="1:9" x14ac:dyDescent="0.25">
      <c r="A353" s="1">
        <v>45869</v>
      </c>
      <c r="B353" t="s">
        <v>46</v>
      </c>
      <c r="C353">
        <v>5</v>
      </c>
      <c r="D353" t="s">
        <v>380</v>
      </c>
      <c r="E353" t="s">
        <v>381</v>
      </c>
      <c r="G353" t="s">
        <v>62</v>
      </c>
      <c r="I353" t="s">
        <v>83</v>
      </c>
    </row>
    <row r="354" spans="1:9" x14ac:dyDescent="0.25">
      <c r="A354" s="1">
        <v>45869</v>
      </c>
      <c r="B354" t="s">
        <v>46</v>
      </c>
      <c r="C354">
        <v>-10.4</v>
      </c>
      <c r="D354" t="s">
        <v>140</v>
      </c>
      <c r="E354" t="s">
        <v>382</v>
      </c>
      <c r="G354" t="s">
        <v>62</v>
      </c>
      <c r="I354" t="s">
        <v>79</v>
      </c>
    </row>
    <row r="355" spans="1:9" x14ac:dyDescent="0.25">
      <c r="A355" s="1">
        <v>45869</v>
      </c>
      <c r="B355" t="s">
        <v>46</v>
      </c>
      <c r="C355">
        <v>-147.66</v>
      </c>
      <c r="D355" t="s">
        <v>60</v>
      </c>
      <c r="E355" t="s">
        <v>383</v>
      </c>
      <c r="G355" t="s">
        <v>62</v>
      </c>
      <c r="I355" t="s">
        <v>83</v>
      </c>
    </row>
    <row r="356" spans="1:9" x14ac:dyDescent="0.25">
      <c r="A356" s="1">
        <v>45869</v>
      </c>
      <c r="B356" t="s">
        <v>9</v>
      </c>
      <c r="C356">
        <v>-42.43</v>
      </c>
      <c r="D356" t="s">
        <v>10</v>
      </c>
      <c r="E356" t="s">
        <v>384</v>
      </c>
      <c r="G356" t="s">
        <v>57</v>
      </c>
    </row>
    <row r="357" spans="1:9" x14ac:dyDescent="0.25">
      <c r="A357" s="1">
        <v>45869</v>
      </c>
      <c r="B357" t="s">
        <v>13</v>
      </c>
      <c r="C357">
        <v>-150</v>
      </c>
      <c r="D357" t="s">
        <v>24</v>
      </c>
      <c r="E357" t="s">
        <v>385</v>
      </c>
      <c r="F357" t="s">
        <v>256</v>
      </c>
      <c r="G357" t="s">
        <v>81</v>
      </c>
    </row>
  </sheetData>
  <autoFilter ref="A1:I357" xr:uid="{B4AD7823-C56D-4A35-BBD7-EBC082E69A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2025-10-16T19:03:09Z</dcterms:created>
  <dcterms:modified xsi:type="dcterms:W3CDTF">2025-10-19T15:17:20Z</dcterms:modified>
</cp:coreProperties>
</file>