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tuklaptop\e\Users\Mat\python\data\property\checked\"/>
    </mc:Choice>
  </mc:AlternateContent>
  <xr:revisionPtr revIDLastSave="0" documentId="13_ncr:1_{B2402214-D367-48EC-9C7F-40A3F4E1FB3C}" xr6:coauthVersionLast="47" xr6:coauthVersionMax="47" xr10:uidLastSave="{00000000-0000-0000-0000-000000000000}"/>
  <bookViews>
    <workbookView xWindow="-120" yWindow="-120" windowWidth="29040" windowHeight="15840" activeTab="4" xr2:uid="{90572F85-EBA3-454C-8372-120EAA3BCB69}"/>
  </bookViews>
  <sheets>
    <sheet name="August" sheetId="1" r:id="rId1"/>
    <sheet name="September" sheetId="2" r:id="rId2"/>
    <sheet name="October" sheetId="3" r:id="rId3"/>
    <sheet name="November" sheetId="4" r:id="rId4"/>
    <sheet name="December balance up" sheetId="5" r:id="rId5"/>
  </sheets>
  <definedNames>
    <definedName name="_xlnm._FilterDatabase" localSheetId="0" hidden="1">August!$A$1:$G$45</definedName>
    <definedName name="_xlnm._FilterDatabase" localSheetId="3" hidden="1">November!$A$1:$I$1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5" l="1"/>
  <c r="B7" i="5"/>
  <c r="C7" i="5"/>
  <c r="C14" i="3"/>
  <c r="C37" i="1"/>
  <c r="C21" i="2"/>
</calcChain>
</file>

<file path=xl/sharedStrings.xml><?xml version="1.0" encoding="utf-8"?>
<sst xmlns="http://schemas.openxmlformats.org/spreadsheetml/2006/main" count="533" uniqueCount="118">
  <si>
    <t>Date</t>
  </si>
  <si>
    <t>Account</t>
  </si>
  <si>
    <t>Amount</t>
  </si>
  <si>
    <t>Subcategory</t>
  </si>
  <si>
    <t>Memo</t>
  </si>
  <si>
    <t>Property</t>
  </si>
  <si>
    <t>Cat</t>
  </si>
  <si>
    <t>20-74-09 60458872</t>
  </si>
  <si>
    <t>Counter Credit</t>
  </si>
  <si>
    <t>BEALS ESTATE AGENT    FLAT 68 ALHAMBRA R BG</t>
  </si>
  <si>
    <t>F68ALH</t>
  </si>
  <si>
    <t>BealsRent</t>
  </si>
  <si>
    <t>BEALS ESTATE AGENT    196A KINGSTON ROAD BG</t>
  </si>
  <si>
    <t>196AKIN</t>
  </si>
  <si>
    <t>BEALS ESTATE AGENT    FLAT 2171 FAWCETT BGC</t>
  </si>
  <si>
    <t>F2171FAW</t>
  </si>
  <si>
    <t>20-53-97 30728691</t>
  </si>
  <si>
    <t>BEALS ESTATE AGENT    FLAT 78 ALHAMBRA R BG</t>
  </si>
  <si>
    <t>F78ALH</t>
  </si>
  <si>
    <t>Mortgages</t>
  </si>
  <si>
    <t>S Lindemere           20 4-6 ALHAMBRARD BG</t>
  </si>
  <si>
    <t>F2046ALH</t>
  </si>
  <si>
    <t>OurRent</t>
  </si>
  <si>
    <t>Funds Transfer</t>
  </si>
  <si>
    <t>NATSO P               RENT FT</t>
  </si>
  <si>
    <t>F4163FRA</t>
  </si>
  <si>
    <t>23B HAMPSHIRE         SEQUENCE UK LIMI BGC</t>
  </si>
  <si>
    <t>23BHAM</t>
  </si>
  <si>
    <t>Bill Payment</t>
  </si>
  <si>
    <t>RSA CAPITAL LIMITE    20 4-6 LINDEMERE BBP</t>
  </si>
  <si>
    <t>S Kumar               FLAT 4 MONTH 5 BGC</t>
  </si>
  <si>
    <t>F4321LON</t>
  </si>
  <si>
    <t>Standing Order</t>
  </si>
  <si>
    <t>MISS SOPHIE H BEDF    FLAT 17 ALHAMBRA STO</t>
  </si>
  <si>
    <t>F1746ALH</t>
  </si>
  <si>
    <t>A Ibiyemi             RENT 3 321 LONDON BGC</t>
  </si>
  <si>
    <t>F3321LON</t>
  </si>
  <si>
    <t>RSA CAPITAL LIMITE    S BEDFORD 1746 BBP</t>
  </si>
  <si>
    <t>RSA CAPITAL LIMITE    3321 IBI LAST PAYM BB</t>
  </si>
  <si>
    <t>RSA CAPITAL LIMITE    4321 KUMAR RENT BBP</t>
  </si>
  <si>
    <t>CHRISTOPHER ROGERS    CR88 4163 FT</t>
  </si>
  <si>
    <t>PropertyExpense</t>
  </si>
  <si>
    <t>CHRISTOPHER ROGERS    CR891171FAW FT</t>
  </si>
  <si>
    <t>F1171FAW</t>
  </si>
  <si>
    <t>CHRISTOPHER ROGERS    CR90169171COM FT</t>
  </si>
  <si>
    <t>169FAW</t>
  </si>
  <si>
    <t>CHRISTOPHER ROGERS    CR9123BSOCKET FT</t>
  </si>
  <si>
    <t>A BECK PLUMBING       1364611618 FT</t>
  </si>
  <si>
    <t>F11618ALH</t>
  </si>
  <si>
    <t>A BECK PLUMBING       13704 1169 PUMP BBP</t>
  </si>
  <si>
    <t>F1169FAW</t>
  </si>
  <si>
    <t>PORTSEA ISLAND PRO    200 23B REPAIRS BBP</t>
  </si>
  <si>
    <t>A BECK PLUMBING       13693 4 163FRA BBP</t>
  </si>
  <si>
    <t>SSE SOUTHERN ELECT    6882766014 STO</t>
  </si>
  <si>
    <t>ICE PROFESSIONAL S    1555 FT</t>
  </si>
  <si>
    <t>A BECK PLUMBING       13777 4163 BBP</t>
  </si>
  <si>
    <t>M TUCKER              COURT FEES 71214 BBP</t>
  </si>
  <si>
    <t>F71214ALH</t>
  </si>
  <si>
    <t>A BECK PLUMBING       13751 101214LEAK8 BBP</t>
  </si>
  <si>
    <t>F101214ALH</t>
  </si>
  <si>
    <t>4-6 ALHAMBRA RD CS    209254 83672832 STO</t>
  </si>
  <si>
    <t>ServiceCharge</t>
  </si>
  <si>
    <t>12-14 ALHAMBRA RD     209254 23534332 STO</t>
  </si>
  <si>
    <t>23 HAMPSHIRE TERRA    209254 13676978 STO</t>
  </si>
  <si>
    <t>16-18 ALHAMBRA RD     209254 13686035 STO</t>
  </si>
  <si>
    <t>ALHAMBRA ROAD MANA    209254 23534332 STO</t>
  </si>
  <si>
    <t>ALHAMBRA ROAD MANA    209254 13686035 STO</t>
  </si>
  <si>
    <t>ALHAMBRA ROAD MANA    209254 83672832 STO</t>
  </si>
  <si>
    <t>BEALS ESTATE AGENT    FLAT 1616-18 ALHAM BG</t>
  </si>
  <si>
    <t>F161618ALH</t>
  </si>
  <si>
    <t>Contactless Card Purchase</t>
  </si>
  <si>
    <t>POST OFFICE COUNTE    ON 01 SEP CLP</t>
  </si>
  <si>
    <t>RSA</t>
  </si>
  <si>
    <t>RSA CAPITAL LIMITE    MWILLIAMS 196BRENT BB</t>
  </si>
  <si>
    <t>196BKIN</t>
  </si>
  <si>
    <t>RSA CAPITAL LIMITE    3321 IBIRENT BBP</t>
  </si>
  <si>
    <t>RSA CAPITAL LIMITE    GRADON 16 16-18 BBP</t>
  </si>
  <si>
    <t>MR MICHAEL BETTS      FT11 12-14ALHAMBRA ST</t>
  </si>
  <si>
    <t>F111214ALH</t>
  </si>
  <si>
    <t>RSA CAPITAL LIMITE    M BETTSRENT 111214 BB</t>
  </si>
  <si>
    <t>F111618ALH</t>
  </si>
  <si>
    <t>M Williams            RENT BGC</t>
  </si>
  <si>
    <t>60-83-71 00558156</t>
  </si>
  <si>
    <t>INTEREST_PAYMENTS</t>
  </si>
  <si>
    <t>Ivana Valentino Mortgages Mortgage Payments</t>
  </si>
  <si>
    <t>IVMortgage</t>
  </si>
  <si>
    <t>Ivana Valentino Mortgages Mortgage payments</t>
  </si>
  <si>
    <t>Matthew Tucker From Rsa Capital.. Mortgage payments</t>
  </si>
  <si>
    <t>MTMortgage</t>
  </si>
  <si>
    <t>Matthew Tucker Mortgages Mortgage payments</t>
  </si>
  <si>
    <t xml:space="preserve">Matthew Tucker Mortgages </t>
  </si>
  <si>
    <t>Mortgage</t>
  </si>
  <si>
    <t>FURCZYK Z K           RENTAUGUST FT</t>
  </si>
  <si>
    <t>F88ALH</t>
  </si>
  <si>
    <t>BETHANY ALLEN         RENT RETURN 23B BBP</t>
  </si>
  <si>
    <t>Description</t>
  </si>
  <si>
    <t>Subcat</t>
  </si>
  <si>
    <t>FLAT3 321LONDON RD    SEQUENCE UK LIMI BGC</t>
  </si>
  <si>
    <t>RSA CAPITAL LIMITE    3321 REM RENT BBP</t>
  </si>
  <si>
    <t>REPAIRS_AND_MAINTENANCE</t>
  </si>
  <si>
    <t xml:space="preserve">Matthew Tucker SC Aug-Sep-Oct </t>
  </si>
  <si>
    <t xml:space="preserve">Ivana Valentino SC Aug-Sep-Oct </t>
  </si>
  <si>
    <t>Service charges repayment for Aug, Sep, Oct - £600 per month * 3</t>
  </si>
  <si>
    <t>Repaid Oct</t>
  </si>
  <si>
    <t xml:space="preserve">Ivana Valentino Mortgages </t>
  </si>
  <si>
    <t>IVMortgages</t>
  </si>
  <si>
    <t>MTMortgages</t>
  </si>
  <si>
    <t>F23 4-6ALHAMBRA       SEQUENCE UK LIMI BGC</t>
  </si>
  <si>
    <t>F2346ALH</t>
  </si>
  <si>
    <t>Need to move</t>
  </si>
  <si>
    <t>RSA CAPITAL LIMITE    16 16-18 JAN 2023 BBP</t>
  </si>
  <si>
    <t>What was this?</t>
  </si>
  <si>
    <t>Move over</t>
  </si>
  <si>
    <t>Oct</t>
  </si>
  <si>
    <t>Nov</t>
  </si>
  <si>
    <t>Balance up mortgages in Dec - just Oct, Nov</t>
  </si>
  <si>
    <t>Already paid in Dec</t>
  </si>
  <si>
    <t>Dec (estimated)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</si>
</sst>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2" borderId="0" xfId="0" applyFill="1"/>
    <xf numFmtId="0" fontId="0" fillId="3" borderId="0" xfId="0" applyFill="1"/>
    <xf numFmtId="14" fontId="0" fillId="4" borderId="0" xfId="0" applyNumberFormat="1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5506B-F819-414B-88A2-F493ED6C8C2C}">
  <dimension ref="A1:H46"/>
  <sheetViews>
    <sheetView topLeftCell="A4" zoomScale="85" zoomScaleNormal="85" workbookViewId="0">
      <selection activeCell="C37" sqref="C37"/>
    </sheetView>
  </sheetViews>
  <sheetFormatPr defaultRowHeight="15" x14ac:dyDescent="0.25"/>
  <cols>
    <col min="1" max="1" width="10.7109375" bestFit="1" customWidth="1"/>
    <col min="2" max="2" width="17" bestFit="1" customWidth="1"/>
    <col min="3" max="3" width="8.140625" bestFit="1" customWidth="1"/>
    <col min="4" max="4" width="14.140625" bestFit="1" customWidth="1"/>
    <col min="5" max="5" width="44.7109375" bestFit="1" customWidth="1"/>
    <col min="6" max="6" width="10.140625" bestFit="1" customWidth="1"/>
    <col min="7" max="7" width="16.28515625" bestFit="1" customWidth="1"/>
    <col min="8" max="8" width="11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44777</v>
      </c>
      <c r="B2" t="s">
        <v>16</v>
      </c>
      <c r="C2">
        <v>452</v>
      </c>
      <c r="D2" t="s">
        <v>8</v>
      </c>
      <c r="E2" t="s">
        <v>17</v>
      </c>
      <c r="F2" t="s">
        <v>18</v>
      </c>
      <c r="G2" s="4" t="s">
        <v>11</v>
      </c>
    </row>
    <row r="3" spans="1:7" x14ac:dyDescent="0.25">
      <c r="A3" s="1">
        <v>44774</v>
      </c>
      <c r="B3" t="s">
        <v>7</v>
      </c>
      <c r="C3">
        <v>47.75</v>
      </c>
      <c r="D3" t="s">
        <v>8</v>
      </c>
      <c r="E3" t="s">
        <v>9</v>
      </c>
      <c r="F3" t="s">
        <v>10</v>
      </c>
      <c r="G3" s="4" t="s">
        <v>11</v>
      </c>
    </row>
    <row r="4" spans="1:7" x14ac:dyDescent="0.25">
      <c r="A4" s="1">
        <v>44777</v>
      </c>
      <c r="B4" t="s">
        <v>7</v>
      </c>
      <c r="C4">
        <v>470.32</v>
      </c>
      <c r="D4" t="s">
        <v>8</v>
      </c>
      <c r="E4" t="s">
        <v>12</v>
      </c>
      <c r="F4" t="s">
        <v>13</v>
      </c>
      <c r="G4" s="4" t="s">
        <v>11</v>
      </c>
    </row>
    <row r="5" spans="1:7" x14ac:dyDescent="0.25">
      <c r="A5" s="1">
        <v>44777</v>
      </c>
      <c r="B5" t="s">
        <v>7</v>
      </c>
      <c r="C5">
        <v>134.11000000000001</v>
      </c>
      <c r="D5" t="s">
        <v>8</v>
      </c>
      <c r="E5" t="s">
        <v>14</v>
      </c>
      <c r="F5" t="s">
        <v>15</v>
      </c>
      <c r="G5" s="4" t="s">
        <v>11</v>
      </c>
    </row>
    <row r="6" spans="1:7" x14ac:dyDescent="0.25">
      <c r="A6" s="1">
        <v>44774</v>
      </c>
      <c r="B6" t="s">
        <v>16</v>
      </c>
      <c r="C6">
        <v>675</v>
      </c>
      <c r="D6" t="s">
        <v>23</v>
      </c>
      <c r="E6" t="s">
        <v>92</v>
      </c>
      <c r="F6" t="s">
        <v>93</v>
      </c>
      <c r="G6" t="s">
        <v>22</v>
      </c>
    </row>
    <row r="7" spans="1:7" x14ac:dyDescent="0.25">
      <c r="A7" s="1">
        <v>44777</v>
      </c>
      <c r="B7" t="s">
        <v>16</v>
      </c>
      <c r="C7">
        <v>-900</v>
      </c>
      <c r="D7" t="s">
        <v>28</v>
      </c>
      <c r="E7" t="s">
        <v>94</v>
      </c>
      <c r="F7" t="s">
        <v>27</v>
      </c>
      <c r="G7" t="s">
        <v>22</v>
      </c>
    </row>
    <row r="8" spans="1:7" x14ac:dyDescent="0.25">
      <c r="A8" s="1">
        <v>44798</v>
      </c>
      <c r="B8" t="s">
        <v>16</v>
      </c>
      <c r="C8">
        <v>-600</v>
      </c>
      <c r="D8" t="s">
        <v>28</v>
      </c>
      <c r="E8" t="s">
        <v>79</v>
      </c>
      <c r="F8" t="s">
        <v>80</v>
      </c>
      <c r="G8" t="s">
        <v>22</v>
      </c>
    </row>
    <row r="9" spans="1:7" x14ac:dyDescent="0.25">
      <c r="A9" s="1">
        <v>44798</v>
      </c>
      <c r="B9" t="s">
        <v>16</v>
      </c>
      <c r="C9">
        <v>600</v>
      </c>
      <c r="D9" t="s">
        <v>32</v>
      </c>
      <c r="E9" t="s">
        <v>77</v>
      </c>
      <c r="F9" t="s">
        <v>78</v>
      </c>
      <c r="G9" t="s">
        <v>22</v>
      </c>
    </row>
    <row r="10" spans="1:7" x14ac:dyDescent="0.25">
      <c r="A10" s="1">
        <v>44804</v>
      </c>
      <c r="B10" t="s">
        <v>16</v>
      </c>
      <c r="C10">
        <v>820</v>
      </c>
      <c r="D10" t="s">
        <v>8</v>
      </c>
      <c r="E10" t="s">
        <v>81</v>
      </c>
      <c r="F10" t="s">
        <v>74</v>
      </c>
      <c r="G10" t="s">
        <v>22</v>
      </c>
    </row>
    <row r="11" spans="1:7" x14ac:dyDescent="0.25">
      <c r="A11" s="1">
        <v>44774</v>
      </c>
      <c r="B11" t="s">
        <v>7</v>
      </c>
      <c r="C11">
        <v>345</v>
      </c>
      <c r="D11" t="s">
        <v>8</v>
      </c>
      <c r="E11" t="s">
        <v>20</v>
      </c>
      <c r="F11" t="s">
        <v>21</v>
      </c>
      <c r="G11" t="s">
        <v>22</v>
      </c>
    </row>
    <row r="12" spans="1:7" x14ac:dyDescent="0.25">
      <c r="A12" s="1">
        <v>44774</v>
      </c>
      <c r="B12" t="s">
        <v>7</v>
      </c>
      <c r="C12">
        <v>600</v>
      </c>
      <c r="D12" t="s">
        <v>23</v>
      </c>
      <c r="E12" t="s">
        <v>24</v>
      </c>
      <c r="F12" t="s">
        <v>25</v>
      </c>
      <c r="G12" t="s">
        <v>22</v>
      </c>
    </row>
    <row r="13" spans="1:7" x14ac:dyDescent="0.25">
      <c r="A13" s="1">
        <v>44777</v>
      </c>
      <c r="B13" t="s">
        <v>7</v>
      </c>
      <c r="C13">
        <v>260</v>
      </c>
      <c r="D13" t="s">
        <v>8</v>
      </c>
      <c r="E13" t="s">
        <v>26</v>
      </c>
      <c r="F13" t="s">
        <v>27</v>
      </c>
      <c r="G13" t="s">
        <v>22</v>
      </c>
    </row>
    <row r="14" spans="1:7" x14ac:dyDescent="0.25">
      <c r="A14" s="1">
        <v>44797</v>
      </c>
      <c r="B14" t="s">
        <v>7</v>
      </c>
      <c r="C14">
        <v>695</v>
      </c>
      <c r="D14" t="s">
        <v>8</v>
      </c>
      <c r="E14" t="s">
        <v>20</v>
      </c>
      <c r="F14" t="s">
        <v>21</v>
      </c>
      <c r="G14" t="s">
        <v>22</v>
      </c>
    </row>
    <row r="15" spans="1:7" x14ac:dyDescent="0.25">
      <c r="A15" s="1">
        <v>44798</v>
      </c>
      <c r="B15" t="s">
        <v>7</v>
      </c>
      <c r="C15">
        <v>-695</v>
      </c>
      <c r="D15" t="s">
        <v>28</v>
      </c>
      <c r="E15" t="s">
        <v>29</v>
      </c>
      <c r="F15" t="s">
        <v>21</v>
      </c>
      <c r="G15" t="s">
        <v>22</v>
      </c>
    </row>
    <row r="16" spans="1:7" x14ac:dyDescent="0.25">
      <c r="A16" s="1">
        <v>44803</v>
      </c>
      <c r="B16" t="s">
        <v>7</v>
      </c>
      <c r="C16">
        <v>750</v>
      </c>
      <c r="D16" t="s">
        <v>8</v>
      </c>
      <c r="E16" t="s">
        <v>30</v>
      </c>
      <c r="F16" t="s">
        <v>31</v>
      </c>
      <c r="G16" t="s">
        <v>22</v>
      </c>
    </row>
    <row r="17" spans="1:7" x14ac:dyDescent="0.25">
      <c r="A17" s="1">
        <v>44803</v>
      </c>
      <c r="B17" t="s">
        <v>7</v>
      </c>
      <c r="C17">
        <v>650</v>
      </c>
      <c r="D17" t="s">
        <v>32</v>
      </c>
      <c r="E17" t="s">
        <v>33</v>
      </c>
      <c r="F17" t="s">
        <v>34</v>
      </c>
      <c r="G17" t="s">
        <v>22</v>
      </c>
    </row>
    <row r="18" spans="1:7" x14ac:dyDescent="0.25">
      <c r="A18" s="1">
        <v>44803</v>
      </c>
      <c r="B18" t="s">
        <v>7</v>
      </c>
      <c r="C18">
        <v>357.53</v>
      </c>
      <c r="D18" t="s">
        <v>8</v>
      </c>
      <c r="E18" t="s">
        <v>35</v>
      </c>
      <c r="F18" t="s">
        <v>36</v>
      </c>
      <c r="G18" t="s">
        <v>22</v>
      </c>
    </row>
    <row r="19" spans="1:7" x14ac:dyDescent="0.25">
      <c r="A19" s="1">
        <v>44804</v>
      </c>
      <c r="B19" t="s">
        <v>7</v>
      </c>
      <c r="C19">
        <v>-650</v>
      </c>
      <c r="D19" t="s">
        <v>28</v>
      </c>
      <c r="E19" t="s">
        <v>37</v>
      </c>
      <c r="F19" t="s">
        <v>34</v>
      </c>
      <c r="G19" t="s">
        <v>22</v>
      </c>
    </row>
    <row r="20" spans="1:7" x14ac:dyDescent="0.25">
      <c r="A20" s="1">
        <v>44804</v>
      </c>
      <c r="B20" t="s">
        <v>7</v>
      </c>
      <c r="C20">
        <v>-357.53</v>
      </c>
      <c r="D20" t="s">
        <v>28</v>
      </c>
      <c r="E20" t="s">
        <v>38</v>
      </c>
      <c r="F20" t="s">
        <v>36</v>
      </c>
      <c r="G20" t="s">
        <v>22</v>
      </c>
    </row>
    <row r="21" spans="1:7" x14ac:dyDescent="0.25">
      <c r="A21" s="1">
        <v>44804</v>
      </c>
      <c r="B21" t="s">
        <v>7</v>
      </c>
      <c r="C21">
        <v>-750</v>
      </c>
      <c r="D21" t="s">
        <v>28</v>
      </c>
      <c r="E21" t="s">
        <v>39</v>
      </c>
      <c r="F21" t="s">
        <v>31</v>
      </c>
      <c r="G21" t="s">
        <v>22</v>
      </c>
    </row>
    <row r="22" spans="1:7" x14ac:dyDescent="0.25">
      <c r="A22" s="1">
        <v>44798</v>
      </c>
      <c r="B22" t="s">
        <v>16</v>
      </c>
      <c r="C22">
        <v>-78</v>
      </c>
      <c r="D22" t="s">
        <v>28</v>
      </c>
      <c r="E22" t="s">
        <v>58</v>
      </c>
      <c r="F22" t="s">
        <v>59</v>
      </c>
      <c r="G22" t="s">
        <v>41</v>
      </c>
    </row>
    <row r="23" spans="1:7" x14ac:dyDescent="0.25">
      <c r="A23" s="1">
        <v>44784</v>
      </c>
      <c r="B23" t="s">
        <v>7</v>
      </c>
      <c r="C23">
        <v>-80</v>
      </c>
      <c r="D23" t="s">
        <v>23</v>
      </c>
      <c r="E23" t="s">
        <v>40</v>
      </c>
      <c r="F23" t="s">
        <v>25</v>
      </c>
      <c r="G23" t="s">
        <v>41</v>
      </c>
    </row>
    <row r="24" spans="1:7" x14ac:dyDescent="0.25">
      <c r="A24" s="1">
        <v>44784</v>
      </c>
      <c r="B24" t="s">
        <v>7</v>
      </c>
      <c r="C24">
        <v>-50</v>
      </c>
      <c r="D24" t="s">
        <v>23</v>
      </c>
      <c r="E24" t="s">
        <v>42</v>
      </c>
      <c r="F24" t="s">
        <v>43</v>
      </c>
      <c r="G24" t="s">
        <v>41</v>
      </c>
    </row>
    <row r="25" spans="1:7" x14ac:dyDescent="0.25">
      <c r="A25" s="1">
        <v>44784</v>
      </c>
      <c r="B25" t="s">
        <v>7</v>
      </c>
      <c r="C25">
        <v>-100</v>
      </c>
      <c r="D25" t="s">
        <v>23</v>
      </c>
      <c r="E25" t="s">
        <v>44</v>
      </c>
      <c r="F25" t="s">
        <v>45</v>
      </c>
      <c r="G25" t="s">
        <v>41</v>
      </c>
    </row>
    <row r="26" spans="1:7" x14ac:dyDescent="0.25">
      <c r="A26" s="1">
        <v>44784</v>
      </c>
      <c r="B26" t="s">
        <v>7</v>
      </c>
      <c r="C26">
        <v>-45</v>
      </c>
      <c r="D26" t="s">
        <v>23</v>
      </c>
      <c r="E26" t="s">
        <v>46</v>
      </c>
      <c r="F26" t="s">
        <v>27</v>
      </c>
      <c r="G26" t="s">
        <v>41</v>
      </c>
    </row>
    <row r="27" spans="1:7" x14ac:dyDescent="0.25">
      <c r="A27" s="1">
        <v>44784</v>
      </c>
      <c r="B27" t="s">
        <v>7</v>
      </c>
      <c r="C27">
        <v>-192</v>
      </c>
      <c r="D27" t="s">
        <v>23</v>
      </c>
      <c r="E27" t="s">
        <v>47</v>
      </c>
      <c r="F27" t="s">
        <v>48</v>
      </c>
      <c r="G27" t="s">
        <v>41</v>
      </c>
    </row>
    <row r="28" spans="1:7" x14ac:dyDescent="0.25">
      <c r="A28" s="1">
        <v>44789</v>
      </c>
      <c r="B28" t="s">
        <v>7</v>
      </c>
      <c r="C28">
        <v>-1188</v>
      </c>
      <c r="D28" t="s">
        <v>28</v>
      </c>
      <c r="E28" t="s">
        <v>49</v>
      </c>
      <c r="F28" t="s">
        <v>50</v>
      </c>
      <c r="G28" t="s">
        <v>41</v>
      </c>
    </row>
    <row r="29" spans="1:7" x14ac:dyDescent="0.25">
      <c r="A29" s="1">
        <v>44789</v>
      </c>
      <c r="B29" t="s">
        <v>7</v>
      </c>
      <c r="C29">
        <v>-80</v>
      </c>
      <c r="D29" t="s">
        <v>28</v>
      </c>
      <c r="E29" t="s">
        <v>51</v>
      </c>
      <c r="F29" t="s">
        <v>27</v>
      </c>
      <c r="G29" t="s">
        <v>41</v>
      </c>
    </row>
    <row r="30" spans="1:7" x14ac:dyDescent="0.25">
      <c r="A30" s="1">
        <v>44789</v>
      </c>
      <c r="B30" t="s">
        <v>7</v>
      </c>
      <c r="C30">
        <v>-54</v>
      </c>
      <c r="D30" t="s">
        <v>28</v>
      </c>
      <c r="E30" t="s">
        <v>52</v>
      </c>
      <c r="F30" t="s">
        <v>25</v>
      </c>
      <c r="G30" t="s">
        <v>41</v>
      </c>
    </row>
    <row r="31" spans="1:7" x14ac:dyDescent="0.25">
      <c r="A31" s="1">
        <v>44792</v>
      </c>
      <c r="B31" t="s">
        <v>7</v>
      </c>
      <c r="C31">
        <v>-15</v>
      </c>
      <c r="D31" t="s">
        <v>32</v>
      </c>
      <c r="E31" t="s">
        <v>53</v>
      </c>
      <c r="F31" t="s">
        <v>45</v>
      </c>
      <c r="G31" t="s">
        <v>41</v>
      </c>
    </row>
    <row r="32" spans="1:7" x14ac:dyDescent="0.25">
      <c r="A32" s="1">
        <v>44795</v>
      </c>
      <c r="B32" t="s">
        <v>7</v>
      </c>
      <c r="C32">
        <v>-180</v>
      </c>
      <c r="D32" t="s">
        <v>23</v>
      </c>
      <c r="E32" t="s">
        <v>54</v>
      </c>
      <c r="G32" t="s">
        <v>41</v>
      </c>
    </row>
    <row r="33" spans="1:8" x14ac:dyDescent="0.25">
      <c r="A33" s="1">
        <v>44798</v>
      </c>
      <c r="B33" t="s">
        <v>7</v>
      </c>
      <c r="C33">
        <v>-54</v>
      </c>
      <c r="D33" t="s">
        <v>28</v>
      </c>
      <c r="E33" t="s">
        <v>55</v>
      </c>
      <c r="F33" t="s">
        <v>25</v>
      </c>
      <c r="G33" t="s">
        <v>41</v>
      </c>
    </row>
    <row r="34" spans="1:8" x14ac:dyDescent="0.25">
      <c r="A34" s="1">
        <v>44798</v>
      </c>
      <c r="B34" t="s">
        <v>7</v>
      </c>
      <c r="C34">
        <v>-355</v>
      </c>
      <c r="D34" t="s">
        <v>28</v>
      </c>
      <c r="E34" t="s">
        <v>56</v>
      </c>
      <c r="F34" t="s">
        <v>57</v>
      </c>
      <c r="G34" t="s">
        <v>41</v>
      </c>
    </row>
    <row r="35" spans="1:8" x14ac:dyDescent="0.25">
      <c r="A35" t="s">
        <v>16</v>
      </c>
      <c r="B35" t="s">
        <v>16</v>
      </c>
      <c r="C35">
        <v>-4793.03</v>
      </c>
      <c r="D35" t="s">
        <v>19</v>
      </c>
      <c r="F35" t="s">
        <v>19</v>
      </c>
    </row>
    <row r="36" spans="1:8" x14ac:dyDescent="0.25">
      <c r="A36" t="s">
        <v>7</v>
      </c>
      <c r="B36" t="s">
        <v>7</v>
      </c>
      <c r="C36">
        <v>-6395.34</v>
      </c>
      <c r="D36" t="s">
        <v>19</v>
      </c>
      <c r="F36" t="s">
        <v>19</v>
      </c>
    </row>
    <row r="37" spans="1:8" x14ac:dyDescent="0.25">
      <c r="C37">
        <f>SUM(C2:C36)</f>
        <v>-10755.189999999999</v>
      </c>
    </row>
    <row r="39" spans="1:8" x14ac:dyDescent="0.25">
      <c r="A39" s="5">
        <v>44774</v>
      </c>
      <c r="B39" s="6" t="s">
        <v>16</v>
      </c>
      <c r="C39" s="6">
        <v>-50</v>
      </c>
      <c r="D39" s="6" t="s">
        <v>32</v>
      </c>
      <c r="E39" s="6" t="s">
        <v>63</v>
      </c>
      <c r="F39" s="6"/>
      <c r="G39" s="6" t="s">
        <v>61</v>
      </c>
      <c r="H39" s="6" t="s">
        <v>103</v>
      </c>
    </row>
    <row r="40" spans="1:8" x14ac:dyDescent="0.25">
      <c r="A40" s="5">
        <v>44774</v>
      </c>
      <c r="B40" s="6" t="s">
        <v>16</v>
      </c>
      <c r="C40" s="6">
        <v>-157.5</v>
      </c>
      <c r="D40" s="6" t="s">
        <v>32</v>
      </c>
      <c r="E40" s="6" t="s">
        <v>65</v>
      </c>
      <c r="F40" s="6"/>
      <c r="G40" s="6" t="s">
        <v>61</v>
      </c>
      <c r="H40" s="6" t="s">
        <v>103</v>
      </c>
    </row>
    <row r="41" spans="1:8" x14ac:dyDescent="0.25">
      <c r="A41" s="5">
        <v>44774</v>
      </c>
      <c r="B41" s="6" t="s">
        <v>16</v>
      </c>
      <c r="C41" s="6">
        <v>-160</v>
      </c>
      <c r="D41" s="6" t="s">
        <v>32</v>
      </c>
      <c r="E41" s="6" t="s">
        <v>66</v>
      </c>
      <c r="F41" s="6"/>
      <c r="G41" s="6" t="s">
        <v>61</v>
      </c>
      <c r="H41" s="6" t="s">
        <v>103</v>
      </c>
    </row>
    <row r="42" spans="1:8" x14ac:dyDescent="0.25">
      <c r="A42" s="5">
        <v>44774</v>
      </c>
      <c r="B42" s="6" t="s">
        <v>16</v>
      </c>
      <c r="C42" s="6">
        <v>-232.5</v>
      </c>
      <c r="D42" s="6" t="s">
        <v>32</v>
      </c>
      <c r="E42" s="6" t="s">
        <v>67</v>
      </c>
      <c r="F42" s="6"/>
      <c r="G42" s="6" t="s">
        <v>61</v>
      </c>
      <c r="H42" s="6" t="s">
        <v>103</v>
      </c>
    </row>
    <row r="43" spans="1:8" x14ac:dyDescent="0.25">
      <c r="A43" s="5">
        <v>44774</v>
      </c>
      <c r="B43" s="6" t="s">
        <v>7</v>
      </c>
      <c r="C43" s="6">
        <v>-232.5</v>
      </c>
      <c r="D43" s="6" t="s">
        <v>32</v>
      </c>
      <c r="E43" s="6" t="s">
        <v>60</v>
      </c>
      <c r="F43" s="6"/>
      <c r="G43" s="6" t="s">
        <v>61</v>
      </c>
      <c r="H43" s="6" t="s">
        <v>103</v>
      </c>
    </row>
    <row r="44" spans="1:8" x14ac:dyDescent="0.25">
      <c r="A44" s="5">
        <v>44774</v>
      </c>
      <c r="B44" s="6" t="s">
        <v>7</v>
      </c>
      <c r="C44" s="6">
        <v>-157.5</v>
      </c>
      <c r="D44" s="6" t="s">
        <v>32</v>
      </c>
      <c r="E44" s="6" t="s">
        <v>62</v>
      </c>
      <c r="F44" s="6"/>
      <c r="G44" s="6" t="s">
        <v>61</v>
      </c>
      <c r="H44" s="6" t="s">
        <v>103</v>
      </c>
    </row>
    <row r="45" spans="1:8" x14ac:dyDescent="0.25">
      <c r="A45" s="5">
        <v>44774</v>
      </c>
      <c r="B45" s="6" t="s">
        <v>7</v>
      </c>
      <c r="C45" s="6">
        <v>-50</v>
      </c>
      <c r="D45" s="6" t="s">
        <v>32</v>
      </c>
      <c r="E45" s="6" t="s">
        <v>63</v>
      </c>
      <c r="F45" s="6"/>
      <c r="G45" s="6" t="s">
        <v>61</v>
      </c>
      <c r="H45" s="6" t="s">
        <v>103</v>
      </c>
    </row>
    <row r="46" spans="1:8" x14ac:dyDescent="0.25">
      <c r="A46" s="5">
        <v>44774</v>
      </c>
      <c r="B46" s="6" t="s">
        <v>7</v>
      </c>
      <c r="C46" s="6">
        <v>-160</v>
      </c>
      <c r="D46" s="6" t="s">
        <v>32</v>
      </c>
      <c r="E46" s="6" t="s">
        <v>64</v>
      </c>
      <c r="F46" s="6"/>
      <c r="G46" s="6" t="s">
        <v>61</v>
      </c>
      <c r="H46" s="6" t="s">
        <v>103</v>
      </c>
    </row>
  </sheetData>
  <autoFilter ref="A1:G41" xr:uid="{1195506B-F819-414B-88A2-F493ED6C8C2C}"/>
  <sortState xmlns:xlrd2="http://schemas.microsoft.com/office/spreadsheetml/2017/richdata2" ref="A2:G42">
    <sortCondition ref="G2:G42"/>
    <sortCondition ref="B2:B4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11CDF-B2BB-4238-9E41-D4BBC48A948A}">
  <dimension ref="A1:J30"/>
  <sheetViews>
    <sheetView zoomScale="85" zoomScaleNormal="85" workbookViewId="0">
      <selection activeCell="B16" sqref="B16"/>
    </sheetView>
  </sheetViews>
  <sheetFormatPr defaultRowHeight="15" x14ac:dyDescent="0.25"/>
  <cols>
    <col min="1" max="1" width="10.7109375" bestFit="1" customWidth="1"/>
    <col min="2" max="2" width="17.28515625" bestFit="1" customWidth="1"/>
    <col min="4" max="4" width="14.140625" bestFit="1" customWidth="1"/>
    <col min="5" max="5" width="43.28515625" bestFit="1" customWidth="1"/>
    <col min="7" max="7" width="9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61</v>
      </c>
    </row>
    <row r="2" spans="1:10" x14ac:dyDescent="0.25">
      <c r="A2" s="1">
        <v>44819</v>
      </c>
      <c r="B2" t="s">
        <v>16</v>
      </c>
      <c r="C2">
        <v>2368.5</v>
      </c>
      <c r="D2" t="s">
        <v>8</v>
      </c>
      <c r="E2" t="s">
        <v>68</v>
      </c>
      <c r="F2" t="s">
        <v>69</v>
      </c>
      <c r="G2" s="4" t="s">
        <v>11</v>
      </c>
      <c r="J2" t="s">
        <v>41</v>
      </c>
    </row>
    <row r="3" spans="1:10" x14ac:dyDescent="0.25">
      <c r="A3" s="1">
        <v>44820</v>
      </c>
      <c r="B3" t="s">
        <v>16</v>
      </c>
      <c r="C3">
        <v>480.9</v>
      </c>
      <c r="D3" t="s">
        <v>8</v>
      </c>
      <c r="E3" t="s">
        <v>68</v>
      </c>
      <c r="F3" t="s">
        <v>69</v>
      </c>
      <c r="G3" s="4" t="s">
        <v>11</v>
      </c>
      <c r="J3" s="4" t="s">
        <v>11</v>
      </c>
    </row>
    <row r="4" spans="1:10" x14ac:dyDescent="0.25">
      <c r="A4" s="1">
        <v>44809</v>
      </c>
      <c r="B4" t="s">
        <v>16</v>
      </c>
      <c r="C4">
        <v>-820</v>
      </c>
      <c r="D4" t="s">
        <v>28</v>
      </c>
      <c r="E4" t="s">
        <v>73</v>
      </c>
      <c r="F4" t="s">
        <v>74</v>
      </c>
      <c r="G4" t="s">
        <v>22</v>
      </c>
      <c r="J4" t="s">
        <v>41</v>
      </c>
    </row>
    <row r="5" spans="1:10" x14ac:dyDescent="0.25">
      <c r="A5" s="1">
        <v>44824</v>
      </c>
      <c r="B5" t="s">
        <v>16</v>
      </c>
      <c r="C5">
        <v>-2368.5</v>
      </c>
      <c r="D5" t="s">
        <v>28</v>
      </c>
      <c r="E5" t="s">
        <v>76</v>
      </c>
      <c r="F5" t="s">
        <v>69</v>
      </c>
      <c r="G5" t="s">
        <v>22</v>
      </c>
      <c r="J5" t="s">
        <v>91</v>
      </c>
    </row>
    <row r="6" spans="1:10" x14ac:dyDescent="0.25">
      <c r="A6" s="1">
        <v>44830</v>
      </c>
      <c r="B6" t="s">
        <v>16</v>
      </c>
      <c r="C6">
        <v>600</v>
      </c>
      <c r="D6" t="s">
        <v>32</v>
      </c>
      <c r="E6" t="s">
        <v>77</v>
      </c>
      <c r="F6" t="s">
        <v>78</v>
      </c>
      <c r="G6" t="s">
        <v>22</v>
      </c>
    </row>
    <row r="7" spans="1:10" x14ac:dyDescent="0.25">
      <c r="A7" s="1">
        <v>44832</v>
      </c>
      <c r="B7" t="s">
        <v>16</v>
      </c>
      <c r="C7">
        <v>-600</v>
      </c>
      <c r="D7" t="s">
        <v>28</v>
      </c>
      <c r="E7" t="s">
        <v>79</v>
      </c>
      <c r="F7" t="s">
        <v>80</v>
      </c>
      <c r="G7" t="s">
        <v>22</v>
      </c>
    </row>
    <row r="8" spans="1:10" x14ac:dyDescent="0.25">
      <c r="A8" s="1">
        <v>44834</v>
      </c>
      <c r="B8" t="s">
        <v>16</v>
      </c>
      <c r="C8">
        <v>820</v>
      </c>
      <c r="D8" t="s">
        <v>8</v>
      </c>
      <c r="E8" t="s">
        <v>81</v>
      </c>
      <c r="F8" t="s">
        <v>74</v>
      </c>
      <c r="G8" t="s">
        <v>22</v>
      </c>
    </row>
    <row r="9" spans="1:10" x14ac:dyDescent="0.25">
      <c r="A9" s="1">
        <v>44809</v>
      </c>
      <c r="B9" t="s">
        <v>7</v>
      </c>
      <c r="C9">
        <v>23.83</v>
      </c>
      <c r="D9" t="s">
        <v>8</v>
      </c>
      <c r="E9" t="s">
        <v>35</v>
      </c>
      <c r="F9" t="s">
        <v>36</v>
      </c>
      <c r="G9" t="s">
        <v>22</v>
      </c>
    </row>
    <row r="10" spans="1:10" x14ac:dyDescent="0.25">
      <c r="A10" s="1">
        <v>44809</v>
      </c>
      <c r="B10" t="s">
        <v>7</v>
      </c>
      <c r="C10">
        <v>-23.83</v>
      </c>
      <c r="D10" t="s">
        <v>28</v>
      </c>
      <c r="E10" t="s">
        <v>75</v>
      </c>
      <c r="F10" t="s">
        <v>36</v>
      </c>
      <c r="G10" t="s">
        <v>22</v>
      </c>
    </row>
    <row r="11" spans="1:10" x14ac:dyDescent="0.25">
      <c r="A11" s="1">
        <v>44810</v>
      </c>
      <c r="B11" t="s">
        <v>7</v>
      </c>
      <c r="C11">
        <v>87</v>
      </c>
      <c r="D11" t="s">
        <v>8</v>
      </c>
      <c r="E11" t="s">
        <v>26</v>
      </c>
      <c r="F11" t="s">
        <v>27</v>
      </c>
      <c r="G11" t="s">
        <v>22</v>
      </c>
    </row>
    <row r="12" spans="1:10" x14ac:dyDescent="0.25">
      <c r="A12" s="1">
        <v>44806</v>
      </c>
      <c r="B12" t="s">
        <v>7</v>
      </c>
      <c r="C12">
        <v>-6.85</v>
      </c>
      <c r="D12" t="s">
        <v>70</v>
      </c>
      <c r="E12" t="s">
        <v>71</v>
      </c>
      <c r="F12" t="s">
        <v>72</v>
      </c>
      <c r="G12" t="s">
        <v>41</v>
      </c>
    </row>
    <row r="13" spans="1:10" x14ac:dyDescent="0.25">
      <c r="A13" s="1">
        <v>44820</v>
      </c>
      <c r="B13" t="s">
        <v>7</v>
      </c>
      <c r="C13">
        <v>-15</v>
      </c>
      <c r="D13" t="s">
        <v>32</v>
      </c>
      <c r="E13" t="s">
        <v>53</v>
      </c>
      <c r="F13" t="s">
        <v>45</v>
      </c>
      <c r="G13" t="s">
        <v>41</v>
      </c>
    </row>
    <row r="14" spans="1:10" x14ac:dyDescent="0.25">
      <c r="B14" t="s">
        <v>16</v>
      </c>
      <c r="C14">
        <v>-5324.45</v>
      </c>
      <c r="G14" t="s">
        <v>91</v>
      </c>
    </row>
    <row r="15" spans="1:10" x14ac:dyDescent="0.25">
      <c r="A15" s="1">
        <v>44809</v>
      </c>
      <c r="B15" t="s">
        <v>82</v>
      </c>
      <c r="C15">
        <v>2691.42</v>
      </c>
      <c r="D15" t="s">
        <v>83</v>
      </c>
      <c r="E15" t="s">
        <v>84</v>
      </c>
      <c r="G15" s="3" t="s">
        <v>85</v>
      </c>
    </row>
    <row r="16" spans="1:10" x14ac:dyDescent="0.25">
      <c r="A16" s="1">
        <v>44819</v>
      </c>
      <c r="B16" t="s">
        <v>82</v>
      </c>
      <c r="C16">
        <v>2294.39</v>
      </c>
      <c r="D16" t="s">
        <v>83</v>
      </c>
      <c r="E16" t="s">
        <v>86</v>
      </c>
      <c r="G16" s="3" t="s">
        <v>85</v>
      </c>
    </row>
    <row r="17" spans="1:8" x14ac:dyDescent="0.25">
      <c r="B17" t="s">
        <v>7</v>
      </c>
      <c r="C17">
        <v>-7486.47</v>
      </c>
      <c r="G17" t="s">
        <v>91</v>
      </c>
    </row>
    <row r="18" spans="1:8" x14ac:dyDescent="0.25">
      <c r="A18" s="1">
        <v>44809</v>
      </c>
      <c r="B18" t="s">
        <v>82</v>
      </c>
      <c r="C18">
        <v>4133.62</v>
      </c>
      <c r="D18" t="s">
        <v>83</v>
      </c>
      <c r="E18" t="s">
        <v>87</v>
      </c>
      <c r="G18" s="3" t="s">
        <v>88</v>
      </c>
    </row>
    <row r="19" spans="1:8" x14ac:dyDescent="0.25">
      <c r="A19" s="1">
        <v>44819</v>
      </c>
      <c r="B19" t="s">
        <v>82</v>
      </c>
      <c r="C19">
        <v>1623.88</v>
      </c>
      <c r="D19" t="s">
        <v>83</v>
      </c>
      <c r="E19" t="s">
        <v>89</v>
      </c>
      <c r="G19" s="3" t="s">
        <v>88</v>
      </c>
    </row>
    <row r="20" spans="1:8" x14ac:dyDescent="0.25">
      <c r="A20" s="1">
        <v>44832</v>
      </c>
      <c r="B20" t="s">
        <v>82</v>
      </c>
      <c r="C20">
        <v>1870.74</v>
      </c>
      <c r="D20" t="s">
        <v>83</v>
      </c>
      <c r="E20" t="s">
        <v>90</v>
      </c>
      <c r="G20" s="3" t="s">
        <v>88</v>
      </c>
    </row>
    <row r="21" spans="1:8" x14ac:dyDescent="0.25">
      <c r="C21">
        <f>SUM(C2:C20)</f>
        <v>349.18000000000052</v>
      </c>
    </row>
    <row r="23" spans="1:8" x14ac:dyDescent="0.25">
      <c r="A23" s="5">
        <v>44805</v>
      </c>
      <c r="B23" s="6" t="s">
        <v>16</v>
      </c>
      <c r="C23" s="6">
        <v>-50</v>
      </c>
      <c r="D23" s="6" t="s">
        <v>32</v>
      </c>
      <c r="E23" s="6" t="s">
        <v>63</v>
      </c>
      <c r="F23" s="6"/>
      <c r="G23" s="6" t="s">
        <v>61</v>
      </c>
      <c r="H23" s="6" t="s">
        <v>103</v>
      </c>
    </row>
    <row r="24" spans="1:8" x14ac:dyDescent="0.25">
      <c r="A24" s="5">
        <v>44805</v>
      </c>
      <c r="B24" s="6" t="s">
        <v>16</v>
      </c>
      <c r="C24" s="6">
        <v>-157.5</v>
      </c>
      <c r="D24" s="6" t="s">
        <v>32</v>
      </c>
      <c r="E24" s="6" t="s">
        <v>65</v>
      </c>
      <c r="F24" s="6"/>
      <c r="G24" s="6" t="s">
        <v>61</v>
      </c>
      <c r="H24" s="6" t="s">
        <v>103</v>
      </c>
    </row>
    <row r="25" spans="1:8" x14ac:dyDescent="0.25">
      <c r="A25" s="5">
        <v>44805</v>
      </c>
      <c r="B25" s="6" t="s">
        <v>16</v>
      </c>
      <c r="C25" s="6">
        <v>-232.5</v>
      </c>
      <c r="D25" s="6" t="s">
        <v>32</v>
      </c>
      <c r="E25" s="6" t="s">
        <v>67</v>
      </c>
      <c r="F25" s="6"/>
      <c r="G25" s="6" t="s">
        <v>61</v>
      </c>
      <c r="H25" s="6" t="s">
        <v>103</v>
      </c>
    </row>
    <row r="26" spans="1:8" x14ac:dyDescent="0.25">
      <c r="A26" s="5">
        <v>44805</v>
      </c>
      <c r="B26" s="6" t="s">
        <v>16</v>
      </c>
      <c r="C26" s="6">
        <v>-160</v>
      </c>
      <c r="D26" s="6" t="s">
        <v>32</v>
      </c>
      <c r="E26" s="6" t="s">
        <v>66</v>
      </c>
      <c r="F26" s="6"/>
      <c r="G26" s="6" t="s">
        <v>61</v>
      </c>
      <c r="H26" s="6" t="s">
        <v>103</v>
      </c>
    </row>
    <row r="27" spans="1:8" x14ac:dyDescent="0.25">
      <c r="A27" s="5">
        <v>44805</v>
      </c>
      <c r="B27" s="6" t="s">
        <v>7</v>
      </c>
      <c r="C27" s="6">
        <v>-232.5</v>
      </c>
      <c r="D27" s="6" t="s">
        <v>32</v>
      </c>
      <c r="E27" s="6" t="s">
        <v>60</v>
      </c>
      <c r="F27" s="6"/>
      <c r="G27" s="6" t="s">
        <v>61</v>
      </c>
      <c r="H27" s="6" t="s">
        <v>103</v>
      </c>
    </row>
    <row r="28" spans="1:8" x14ac:dyDescent="0.25">
      <c r="A28" s="5">
        <v>44805</v>
      </c>
      <c r="B28" s="6" t="s">
        <v>7</v>
      </c>
      <c r="C28" s="6">
        <v>-157.5</v>
      </c>
      <c r="D28" s="6" t="s">
        <v>32</v>
      </c>
      <c r="E28" s="6" t="s">
        <v>62</v>
      </c>
      <c r="F28" s="6"/>
      <c r="G28" s="6" t="s">
        <v>61</v>
      </c>
      <c r="H28" s="6" t="s">
        <v>103</v>
      </c>
    </row>
    <row r="29" spans="1:8" x14ac:dyDescent="0.25">
      <c r="A29" s="5">
        <v>44805</v>
      </c>
      <c r="B29" s="6" t="s">
        <v>7</v>
      </c>
      <c r="C29" s="6">
        <v>-160</v>
      </c>
      <c r="D29" s="6" t="s">
        <v>32</v>
      </c>
      <c r="E29" s="6" t="s">
        <v>64</v>
      </c>
      <c r="F29" s="6"/>
      <c r="G29" s="6" t="s">
        <v>61</v>
      </c>
      <c r="H29" s="6" t="s">
        <v>103</v>
      </c>
    </row>
    <row r="30" spans="1:8" x14ac:dyDescent="0.25">
      <c r="A30" s="5">
        <v>44805</v>
      </c>
      <c r="B30" s="6" t="s">
        <v>7</v>
      </c>
      <c r="C30" s="6">
        <v>-50</v>
      </c>
      <c r="D30" s="6" t="s">
        <v>32</v>
      </c>
      <c r="E30" s="6" t="s">
        <v>63</v>
      </c>
      <c r="F30" s="6"/>
      <c r="G30" s="6" t="s">
        <v>61</v>
      </c>
      <c r="H30" s="6" t="s">
        <v>103</v>
      </c>
    </row>
  </sheetData>
  <sortState xmlns:xlrd2="http://schemas.microsoft.com/office/spreadsheetml/2017/richdata2" ref="A2:G13">
    <sortCondition ref="G2:G13"/>
    <sortCondition ref="B2:B1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23F2D-34C0-431B-95E9-60BCF800CE29}">
  <dimension ref="A1:I26"/>
  <sheetViews>
    <sheetView zoomScale="85" zoomScaleNormal="85" workbookViewId="0">
      <selection activeCell="C10" sqref="C10:C13"/>
    </sheetView>
  </sheetViews>
  <sheetFormatPr defaultRowHeight="15" x14ac:dyDescent="0.25"/>
  <cols>
    <col min="1" max="1" width="10.7109375" bestFit="1" customWidth="1"/>
    <col min="2" max="2" width="17" bestFit="1" customWidth="1"/>
    <col min="4" max="4" width="14.42578125" bestFit="1" customWidth="1"/>
    <col min="5" max="5" width="43.85546875" bestFit="1" customWidth="1"/>
    <col min="6" max="6" width="11.42578125" bestFit="1" customWidth="1"/>
    <col min="7" max="7" width="16.28515625" bestFit="1" customWidth="1"/>
    <col min="8" max="8" width="11.140625" bestFit="1" customWidth="1"/>
    <col min="9" max="9" width="6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95</v>
      </c>
      <c r="I1" t="s">
        <v>96</v>
      </c>
    </row>
    <row r="2" spans="1:9" x14ac:dyDescent="0.25">
      <c r="A2" s="1">
        <v>44837</v>
      </c>
      <c r="B2" t="s">
        <v>16</v>
      </c>
      <c r="C2">
        <v>-820</v>
      </c>
      <c r="D2" t="s">
        <v>28</v>
      </c>
      <c r="E2" t="s">
        <v>73</v>
      </c>
      <c r="F2" t="s">
        <v>74</v>
      </c>
      <c r="G2" t="s">
        <v>22</v>
      </c>
    </row>
    <row r="3" spans="1:9" x14ac:dyDescent="0.25">
      <c r="A3" s="1">
        <v>44841</v>
      </c>
      <c r="B3" t="s">
        <v>16</v>
      </c>
      <c r="C3">
        <v>260</v>
      </c>
      <c r="D3" t="s">
        <v>8</v>
      </c>
      <c r="E3" t="s">
        <v>97</v>
      </c>
      <c r="F3" t="s">
        <v>36</v>
      </c>
      <c r="G3" t="s">
        <v>22</v>
      </c>
    </row>
    <row r="4" spans="1:9" x14ac:dyDescent="0.25">
      <c r="A4" s="1">
        <v>44848</v>
      </c>
      <c r="B4" t="s">
        <v>16</v>
      </c>
      <c r="C4">
        <v>-260</v>
      </c>
      <c r="D4" t="s">
        <v>28</v>
      </c>
      <c r="E4" t="s">
        <v>98</v>
      </c>
      <c r="F4" t="s">
        <v>36</v>
      </c>
      <c r="G4" t="s">
        <v>22</v>
      </c>
    </row>
    <row r="5" spans="1:9" x14ac:dyDescent="0.25">
      <c r="A5" s="1">
        <v>44859</v>
      </c>
      <c r="B5" t="s">
        <v>16</v>
      </c>
      <c r="C5">
        <v>600</v>
      </c>
      <c r="D5" t="s">
        <v>32</v>
      </c>
      <c r="E5" t="s">
        <v>77</v>
      </c>
      <c r="F5" t="s">
        <v>78</v>
      </c>
      <c r="G5" s="4" t="s">
        <v>22</v>
      </c>
    </row>
    <row r="6" spans="1:9" x14ac:dyDescent="0.25">
      <c r="A6" s="1">
        <v>44848</v>
      </c>
      <c r="B6" t="s">
        <v>7</v>
      </c>
      <c r="C6">
        <v>-15</v>
      </c>
      <c r="D6" t="s">
        <v>32</v>
      </c>
      <c r="E6" t="s">
        <v>53</v>
      </c>
      <c r="F6" t="s">
        <v>45</v>
      </c>
      <c r="G6" s="4" t="s">
        <v>41</v>
      </c>
    </row>
    <row r="7" spans="1:9" x14ac:dyDescent="0.25">
      <c r="B7" t="s">
        <v>16</v>
      </c>
      <c r="C7">
        <v>-5490.42</v>
      </c>
      <c r="G7" s="3" t="s">
        <v>105</v>
      </c>
    </row>
    <row r="8" spans="1:9" x14ac:dyDescent="0.25">
      <c r="A8" s="1">
        <v>44835</v>
      </c>
      <c r="B8" t="s">
        <v>82</v>
      </c>
      <c r="C8">
        <v>2691.42</v>
      </c>
      <c r="D8" t="s">
        <v>83</v>
      </c>
      <c r="E8" t="s">
        <v>104</v>
      </c>
      <c r="G8" s="3" t="s">
        <v>105</v>
      </c>
    </row>
    <row r="9" spans="1:9" x14ac:dyDescent="0.25">
      <c r="A9" s="1">
        <v>44849</v>
      </c>
      <c r="B9" t="s">
        <v>82</v>
      </c>
      <c r="C9">
        <v>2294.39</v>
      </c>
      <c r="D9" t="s">
        <v>83</v>
      </c>
      <c r="E9" t="s">
        <v>104</v>
      </c>
      <c r="G9" s="3" t="s">
        <v>105</v>
      </c>
    </row>
    <row r="10" spans="1:9" x14ac:dyDescent="0.25">
      <c r="B10" t="s">
        <v>7</v>
      </c>
      <c r="C10">
        <v>-7800.67</v>
      </c>
      <c r="G10" s="3" t="s">
        <v>106</v>
      </c>
    </row>
    <row r="11" spans="1:9" x14ac:dyDescent="0.25">
      <c r="A11" s="1">
        <v>44837</v>
      </c>
      <c r="B11" t="s">
        <v>82</v>
      </c>
      <c r="C11">
        <v>3234.04</v>
      </c>
      <c r="D11" t="s">
        <v>83</v>
      </c>
      <c r="E11" t="s">
        <v>90</v>
      </c>
      <c r="G11" s="3" t="s">
        <v>106</v>
      </c>
    </row>
    <row r="12" spans="1:9" x14ac:dyDescent="0.25">
      <c r="A12" s="1">
        <v>44849</v>
      </c>
      <c r="B12" t="s">
        <v>82</v>
      </c>
      <c r="C12">
        <v>1623.88</v>
      </c>
      <c r="D12" t="s">
        <v>83</v>
      </c>
      <c r="E12" t="s">
        <v>90</v>
      </c>
      <c r="G12" s="3" t="s">
        <v>106</v>
      </c>
    </row>
    <row r="13" spans="1:9" x14ac:dyDescent="0.25">
      <c r="A13" s="1">
        <v>44862</v>
      </c>
      <c r="B13" t="s">
        <v>82</v>
      </c>
      <c r="C13">
        <v>1870.74</v>
      </c>
      <c r="D13" t="s">
        <v>83</v>
      </c>
      <c r="E13" t="s">
        <v>90</v>
      </c>
      <c r="G13" s="3" t="s">
        <v>106</v>
      </c>
    </row>
    <row r="14" spans="1:9" x14ac:dyDescent="0.25">
      <c r="C14">
        <f>SUM(C2:C13)</f>
        <v>-1811.6200000000006</v>
      </c>
    </row>
    <row r="17" spans="1:8" x14ac:dyDescent="0.25">
      <c r="A17" s="5">
        <v>44837</v>
      </c>
      <c r="B17" s="6" t="s">
        <v>16</v>
      </c>
      <c r="C17" s="6">
        <v>-232.5</v>
      </c>
      <c r="D17" s="6" t="s">
        <v>32</v>
      </c>
      <c r="E17" s="6" t="s">
        <v>67</v>
      </c>
      <c r="F17" s="6"/>
      <c r="G17" s="6" t="s">
        <v>61</v>
      </c>
      <c r="H17" s="6" t="s">
        <v>103</v>
      </c>
    </row>
    <row r="18" spans="1:8" x14ac:dyDescent="0.25">
      <c r="A18" s="5">
        <v>44837</v>
      </c>
      <c r="B18" s="6" t="s">
        <v>16</v>
      </c>
      <c r="C18" s="6">
        <v>-157.5</v>
      </c>
      <c r="D18" s="6" t="s">
        <v>32</v>
      </c>
      <c r="E18" s="6" t="s">
        <v>65</v>
      </c>
      <c r="F18" s="6"/>
      <c r="G18" s="6" t="s">
        <v>61</v>
      </c>
      <c r="H18" s="6" t="s">
        <v>103</v>
      </c>
    </row>
    <row r="19" spans="1:8" x14ac:dyDescent="0.25">
      <c r="A19" s="5">
        <v>44837</v>
      </c>
      <c r="B19" s="6" t="s">
        <v>16</v>
      </c>
      <c r="C19" s="6">
        <v>-160</v>
      </c>
      <c r="D19" s="6" t="s">
        <v>32</v>
      </c>
      <c r="E19" s="6" t="s">
        <v>66</v>
      </c>
      <c r="F19" s="6"/>
      <c r="G19" s="6" t="s">
        <v>61</v>
      </c>
      <c r="H19" s="6" t="s">
        <v>103</v>
      </c>
    </row>
    <row r="20" spans="1:8" x14ac:dyDescent="0.25">
      <c r="A20" s="5">
        <v>44837</v>
      </c>
      <c r="B20" s="6" t="s">
        <v>16</v>
      </c>
      <c r="C20" s="6">
        <v>-50</v>
      </c>
      <c r="D20" s="6" t="s">
        <v>32</v>
      </c>
      <c r="E20" s="6" t="s">
        <v>63</v>
      </c>
      <c r="F20" s="6"/>
      <c r="G20" s="6" t="s">
        <v>61</v>
      </c>
      <c r="H20" s="6" t="s">
        <v>103</v>
      </c>
    </row>
    <row r="21" spans="1:8" x14ac:dyDescent="0.25">
      <c r="A21" s="5">
        <v>44837</v>
      </c>
      <c r="B21" s="6" t="s">
        <v>7</v>
      </c>
      <c r="C21" s="6">
        <v>-232.5</v>
      </c>
      <c r="D21" s="6" t="s">
        <v>32</v>
      </c>
      <c r="E21" s="6" t="s">
        <v>60</v>
      </c>
      <c r="F21" s="6"/>
      <c r="G21" s="6" t="s">
        <v>61</v>
      </c>
      <c r="H21" s="6" t="s">
        <v>103</v>
      </c>
    </row>
    <row r="22" spans="1:8" x14ac:dyDescent="0.25">
      <c r="A22" s="5">
        <v>44837</v>
      </c>
      <c r="B22" s="6" t="s">
        <v>7</v>
      </c>
      <c r="C22" s="6">
        <v>-160</v>
      </c>
      <c r="D22" s="6" t="s">
        <v>32</v>
      </c>
      <c r="E22" s="6" t="s">
        <v>64</v>
      </c>
      <c r="F22" s="6"/>
      <c r="G22" s="6" t="s">
        <v>61</v>
      </c>
      <c r="H22" s="6" t="s">
        <v>103</v>
      </c>
    </row>
    <row r="23" spans="1:8" x14ac:dyDescent="0.25">
      <c r="A23" s="5">
        <v>44837</v>
      </c>
      <c r="B23" s="6" t="s">
        <v>7</v>
      </c>
      <c r="C23" s="6">
        <v>-50</v>
      </c>
      <c r="D23" s="6" t="s">
        <v>32</v>
      </c>
      <c r="E23" s="6" t="s">
        <v>63</v>
      </c>
      <c r="F23" s="6"/>
      <c r="G23" s="6" t="s">
        <v>61</v>
      </c>
      <c r="H23" s="6" t="s">
        <v>103</v>
      </c>
    </row>
    <row r="24" spans="1:8" x14ac:dyDescent="0.25">
      <c r="A24" s="5">
        <v>44837</v>
      </c>
      <c r="B24" s="6" t="s">
        <v>7</v>
      </c>
      <c r="C24" s="6">
        <v>-157.5</v>
      </c>
      <c r="D24" s="6" t="s">
        <v>32</v>
      </c>
      <c r="E24" s="6" t="s">
        <v>62</v>
      </c>
      <c r="F24" s="6"/>
      <c r="G24" s="6" t="s">
        <v>61</v>
      </c>
      <c r="H24" s="6" t="s">
        <v>103</v>
      </c>
    </row>
    <row r="25" spans="1:8" x14ac:dyDescent="0.25">
      <c r="A25" s="5">
        <v>44852</v>
      </c>
      <c r="B25" s="6" t="s">
        <v>82</v>
      </c>
      <c r="C25" s="6">
        <v>1800</v>
      </c>
      <c r="D25" s="6" t="s">
        <v>99</v>
      </c>
      <c r="E25" s="6" t="s">
        <v>100</v>
      </c>
      <c r="F25" s="6"/>
      <c r="G25" s="6" t="s">
        <v>61</v>
      </c>
      <c r="H25" s="6" t="s">
        <v>102</v>
      </c>
    </row>
    <row r="26" spans="1:8" x14ac:dyDescent="0.25">
      <c r="A26" s="5">
        <v>44852</v>
      </c>
      <c r="B26" s="6" t="s">
        <v>82</v>
      </c>
      <c r="C26" s="6">
        <v>1800</v>
      </c>
      <c r="D26" s="6" t="s">
        <v>99</v>
      </c>
      <c r="E26" s="6" t="s">
        <v>101</v>
      </c>
      <c r="F26" s="6"/>
      <c r="G26" s="6" t="s">
        <v>61</v>
      </c>
      <c r="H26" s="6" t="s">
        <v>102</v>
      </c>
    </row>
  </sheetData>
  <sortState xmlns:xlrd2="http://schemas.microsoft.com/office/spreadsheetml/2017/richdata2" ref="A8:G13">
    <sortCondition ref="G8:G1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C9C8F-D134-4A73-882C-1839DD8F22D9}">
  <dimension ref="A1:I14"/>
  <sheetViews>
    <sheetView zoomScale="85" zoomScaleNormal="85" workbookViewId="0">
      <selection activeCell="C2" sqref="C2:C7"/>
    </sheetView>
  </sheetViews>
  <sheetFormatPr defaultRowHeight="15" x14ac:dyDescent="0.25"/>
  <cols>
    <col min="1" max="1" width="10.7109375" bestFit="1" customWidth="1"/>
    <col min="2" max="2" width="17" bestFit="1" customWidth="1"/>
    <col min="3" max="3" width="8.140625" bestFit="1" customWidth="1"/>
    <col min="4" max="4" width="14.42578125" bestFit="1" customWidth="1"/>
    <col min="5" max="5" width="43" bestFit="1" customWidth="1"/>
    <col min="6" max="6" width="11.42578125" bestFit="1" customWidth="1"/>
    <col min="7" max="7" width="16.28515625" bestFit="1" customWidth="1"/>
    <col min="8" max="8" width="14.42578125" bestFit="1" customWidth="1"/>
    <col min="9" max="9" width="20.5703125" customWidth="1"/>
  </cols>
  <sheetData>
    <row r="1" spans="1:9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95</v>
      </c>
      <c r="I1" s="7" t="s">
        <v>96</v>
      </c>
    </row>
    <row r="2" spans="1:9" x14ac:dyDescent="0.25">
      <c r="A2" s="1">
        <v>44872</v>
      </c>
      <c r="B2" t="s">
        <v>16</v>
      </c>
      <c r="C2">
        <v>285</v>
      </c>
      <c r="D2" t="s">
        <v>8</v>
      </c>
      <c r="E2" t="s">
        <v>107</v>
      </c>
      <c r="F2" t="s">
        <v>108</v>
      </c>
      <c r="G2" s="4" t="s">
        <v>22</v>
      </c>
      <c r="H2" t="s">
        <v>109</v>
      </c>
    </row>
    <row r="3" spans="1:9" x14ac:dyDescent="0.25">
      <c r="A3" s="1">
        <v>44875</v>
      </c>
      <c r="B3" t="s">
        <v>16</v>
      </c>
      <c r="C3">
        <v>-480.9</v>
      </c>
      <c r="D3" t="s">
        <v>28</v>
      </c>
      <c r="E3" t="s">
        <v>110</v>
      </c>
      <c r="F3" s="8" t="s">
        <v>69</v>
      </c>
      <c r="G3" s="4" t="s">
        <v>22</v>
      </c>
      <c r="H3" t="s">
        <v>111</v>
      </c>
    </row>
    <row r="4" spans="1:9" x14ac:dyDescent="0.25">
      <c r="A4" s="1">
        <v>44876</v>
      </c>
      <c r="B4" t="s">
        <v>7</v>
      </c>
      <c r="C4">
        <v>-15</v>
      </c>
      <c r="D4" t="s">
        <v>32</v>
      </c>
      <c r="E4" t="s">
        <v>53</v>
      </c>
      <c r="F4" t="s">
        <v>45</v>
      </c>
      <c r="G4" s="4" t="s">
        <v>41</v>
      </c>
      <c r="H4" t="s">
        <v>112</v>
      </c>
    </row>
    <row r="5" spans="1:9" x14ac:dyDescent="0.25">
      <c r="A5" s="1">
        <v>44890</v>
      </c>
      <c r="B5" t="s">
        <v>16</v>
      </c>
      <c r="C5">
        <v>675</v>
      </c>
      <c r="D5" t="s">
        <v>32</v>
      </c>
      <c r="E5" t="s">
        <v>77</v>
      </c>
      <c r="F5" t="s">
        <v>78</v>
      </c>
      <c r="G5" s="3" t="s">
        <v>22</v>
      </c>
    </row>
    <row r="6" spans="1:9" x14ac:dyDescent="0.25">
      <c r="A6" s="1">
        <v>44893</v>
      </c>
      <c r="B6" t="s">
        <v>16</v>
      </c>
      <c r="C6">
        <v>-675</v>
      </c>
      <c r="D6" t="s">
        <v>28</v>
      </c>
      <c r="E6" t="s">
        <v>79</v>
      </c>
      <c r="F6" t="s">
        <v>80</v>
      </c>
      <c r="G6" s="3" t="s">
        <v>22</v>
      </c>
    </row>
    <row r="7" spans="1:9" x14ac:dyDescent="0.25">
      <c r="A7" s="1">
        <v>44895</v>
      </c>
      <c r="B7" t="s">
        <v>16</v>
      </c>
      <c r="C7">
        <v>720</v>
      </c>
      <c r="D7" t="s">
        <v>8</v>
      </c>
      <c r="E7" t="s">
        <v>81</v>
      </c>
      <c r="F7" t="s">
        <v>74</v>
      </c>
      <c r="G7" s="4" t="s">
        <v>22</v>
      </c>
      <c r="H7" t="s">
        <v>109</v>
      </c>
    </row>
    <row r="9" spans="1:9" x14ac:dyDescent="0.25">
      <c r="B9" t="s">
        <v>16</v>
      </c>
      <c r="C9">
        <v>-6014.63</v>
      </c>
      <c r="G9" s="7" t="s">
        <v>105</v>
      </c>
    </row>
    <row r="10" spans="1:9" x14ac:dyDescent="0.25">
      <c r="A10" s="1">
        <v>44880</v>
      </c>
      <c r="B10" t="s">
        <v>82</v>
      </c>
      <c r="C10">
        <v>2294.39</v>
      </c>
      <c r="D10" t="s">
        <v>83</v>
      </c>
      <c r="E10" t="s">
        <v>104</v>
      </c>
      <c r="G10" s="7" t="s">
        <v>105</v>
      </c>
    </row>
    <row r="11" spans="1:9" x14ac:dyDescent="0.25">
      <c r="B11" t="s">
        <v>7</v>
      </c>
      <c r="C11">
        <v>-8551.23</v>
      </c>
      <c r="G11" s="7" t="s">
        <v>106</v>
      </c>
    </row>
    <row r="12" spans="1:9" x14ac:dyDescent="0.25">
      <c r="A12" s="1">
        <v>44868</v>
      </c>
      <c r="B12" t="s">
        <v>82</v>
      </c>
      <c r="C12">
        <v>3234.04</v>
      </c>
      <c r="D12" t="s">
        <v>83</v>
      </c>
      <c r="E12" t="s">
        <v>90</v>
      </c>
      <c r="G12" s="7" t="s">
        <v>106</v>
      </c>
    </row>
    <row r="13" spans="1:9" x14ac:dyDescent="0.25">
      <c r="A13" s="1">
        <v>44880</v>
      </c>
      <c r="B13" t="s">
        <v>82</v>
      </c>
      <c r="C13">
        <v>1623.88</v>
      </c>
      <c r="D13" t="s">
        <v>83</v>
      </c>
      <c r="E13" t="s">
        <v>90</v>
      </c>
      <c r="G13" s="7" t="s">
        <v>106</v>
      </c>
    </row>
    <row r="14" spans="1:9" x14ac:dyDescent="0.25">
      <c r="A14" s="1">
        <v>44893</v>
      </c>
      <c r="B14" t="s">
        <v>82</v>
      </c>
      <c r="C14">
        <v>1870.74</v>
      </c>
      <c r="D14" t="s">
        <v>83</v>
      </c>
      <c r="E14" t="s">
        <v>90</v>
      </c>
      <c r="G14" s="7" t="s">
        <v>106</v>
      </c>
    </row>
  </sheetData>
  <autoFilter ref="A1:I1" xr:uid="{A9CC9C8F-D134-4A73-882C-1839DD8F22D9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1CE08-98B3-4680-9910-29158FD2668D}">
  <dimension ref="A1:D7"/>
  <sheetViews>
    <sheetView tabSelected="1" workbookViewId="0">
      <selection activeCell="J26" sqref="J26"/>
    </sheetView>
  </sheetViews>
  <sheetFormatPr defaultRowHeight="15" x14ac:dyDescent="0.25"/>
  <cols>
    <col min="1" max="1" width="40" bestFit="1" customWidth="1"/>
    <col min="2" max="2" width="12.140625" bestFit="1" customWidth="1"/>
    <col min="3" max="3" width="11.28515625" bestFit="1" customWidth="1"/>
  </cols>
  <sheetData>
    <row r="1" spans="1:4" x14ac:dyDescent="0.25">
      <c r="A1" t="s">
        <v>115</v>
      </c>
    </row>
    <row r="2" spans="1:4" x14ac:dyDescent="0.25">
      <c r="B2" t="s">
        <v>88</v>
      </c>
      <c r="C2" t="s">
        <v>85</v>
      </c>
    </row>
    <row r="3" spans="1:4" x14ac:dyDescent="0.25">
      <c r="A3" t="s">
        <v>113</v>
      </c>
      <c r="B3">
        <v>1072.01</v>
      </c>
      <c r="C3">
        <v>504.61</v>
      </c>
    </row>
    <row r="4" spans="1:4" x14ac:dyDescent="0.25">
      <c r="A4" t="s">
        <v>114</v>
      </c>
      <c r="B4">
        <v>1822.57</v>
      </c>
      <c r="C4">
        <v>3720.24</v>
      </c>
    </row>
    <row r="5" spans="1:4" x14ac:dyDescent="0.25">
      <c r="A5" t="s">
        <v>117</v>
      </c>
      <c r="B5">
        <v>1500</v>
      </c>
      <c r="C5">
        <v>1500</v>
      </c>
    </row>
    <row r="6" spans="1:4" x14ac:dyDescent="0.25">
      <c r="A6" t="s">
        <v>116</v>
      </c>
      <c r="B6">
        <v>-2000</v>
      </c>
    </row>
    <row r="7" spans="1:4" x14ac:dyDescent="0.25">
      <c r="B7" s="2">
        <f>SUM(B3:B6)</f>
        <v>2394.58</v>
      </c>
      <c r="C7" s="2">
        <f>SUM(C3:C6)</f>
        <v>5724.8499999999995</v>
      </c>
      <c r="D7">
        <f>SUM(B7:C7)</f>
        <v>8119.4299999999994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August</vt:lpstr>
      <vt:lpstr>September</vt:lpstr>
      <vt:lpstr>October</vt:lpstr>
      <vt:lpstr>November</vt:lpstr>
      <vt:lpstr>December balance 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Mat</cp:lastModifiedBy>
  <dcterms:created xsi:type="dcterms:W3CDTF">2022-12-27T17:32:12Z</dcterms:created>
  <dcterms:modified xsi:type="dcterms:W3CDTF">2022-12-27T21:11:44Z</dcterms:modified>
</cp:coreProperties>
</file>